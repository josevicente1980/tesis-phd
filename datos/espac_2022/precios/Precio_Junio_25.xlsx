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ose.ordonez\Desktop\USC 2025\TESIS\Datos\"/>
    </mc:Choice>
  </mc:AlternateContent>
  <xr:revisionPtr revIDLastSave="0" documentId="13_ncr:1_{F83B826C-C3E5-45EA-84D3-C87EE5F21EA2}" xr6:coauthVersionLast="36" xr6:coauthVersionMax="36" xr10:uidLastSave="{00000000-0000-0000-0000-000000000000}"/>
  <bookViews>
    <workbookView xWindow="0" yWindow="0" windowWidth="23040" windowHeight="8976" xr2:uid="{00000000-000D-0000-FFFF-FFFF00000000}"/>
  </bookViews>
  <sheets>
    <sheet name="FINAL" sheetId="1" r:id="rId1"/>
    <sheet name="Tabla_dinamica" sheetId="2" r:id="rId2"/>
    <sheet name="FINAL_1" sheetId="3" r:id="rId3"/>
    <sheet name="FINAL_anterior" sheetId="4" r:id="rId4"/>
  </sheets>
  <definedNames>
    <definedName name="_xlnm._FilterDatabase" localSheetId="0" hidden="1">FINAL!$B$1:$B$1002</definedName>
    <definedName name="_xlnm._FilterDatabase" localSheetId="3" hidden="1">FINAL_anterior!$A$1:$A$297</definedName>
  </definedNames>
  <calcPr calcId="191029"/>
</workbook>
</file>

<file path=xl/calcChain.xml><?xml version="1.0" encoding="utf-8"?>
<calcChain xmlns="http://schemas.openxmlformats.org/spreadsheetml/2006/main">
  <c r="D337" i="1" l="1"/>
  <c r="G296" i="4" l="1"/>
  <c r="G295" i="4"/>
  <c r="G294" i="4"/>
  <c r="G292" i="4"/>
  <c r="F287" i="4"/>
  <c r="E287" i="4"/>
  <c r="G287" i="4" s="1"/>
  <c r="D287" i="4"/>
  <c r="C287" i="4"/>
  <c r="B287" i="4"/>
  <c r="G286" i="4"/>
  <c r="G285" i="4"/>
  <c r="G284" i="4"/>
  <c r="G283" i="4"/>
  <c r="G282" i="4"/>
  <c r="G281" i="4"/>
  <c r="G280" i="4"/>
  <c r="G279" i="4"/>
  <c r="G278" i="4"/>
  <c r="G277" i="4"/>
  <c r="G276" i="4"/>
  <c r="G272" i="4"/>
  <c r="G270" i="4"/>
  <c r="G266" i="4"/>
  <c r="G265" i="4"/>
  <c r="G263" i="4"/>
  <c r="G262" i="4"/>
  <c r="G260" i="4"/>
  <c r="G259" i="4"/>
  <c r="G258" i="4"/>
  <c r="G255" i="4"/>
  <c r="G253" i="4"/>
  <c r="G252" i="4"/>
  <c r="F252" i="4"/>
  <c r="E252" i="4"/>
  <c r="D252" i="4"/>
  <c r="C252" i="4"/>
  <c r="B252" i="4"/>
  <c r="G251" i="4"/>
  <c r="G250" i="4"/>
  <c r="G249" i="4"/>
  <c r="G248" i="4"/>
  <c r="G247" i="4"/>
  <c r="G245" i="4"/>
  <c r="G244" i="4"/>
  <c r="G243" i="4"/>
  <c r="G242" i="4"/>
  <c r="G241" i="4"/>
  <c r="G240" i="4" s="1"/>
  <c r="G237" i="4"/>
  <c r="G236" i="4"/>
  <c r="G235" i="4"/>
  <c r="G232" i="4"/>
  <c r="G230" i="4"/>
  <c r="G229" i="4"/>
  <c r="G219" i="4"/>
  <c r="G218" i="4"/>
  <c r="G217" i="4"/>
  <c r="G216" i="4"/>
  <c r="G215" i="4"/>
  <c r="G214" i="4"/>
  <c r="G213" i="4"/>
  <c r="G207" i="4"/>
  <c r="G204" i="4"/>
  <c r="G203" i="4"/>
  <c r="G202" i="4"/>
  <c r="G201" i="4"/>
  <c r="G200" i="4"/>
  <c r="G199" i="4"/>
  <c r="G198" i="4"/>
  <c r="G197" i="4"/>
  <c r="G196" i="4"/>
  <c r="G194" i="4"/>
  <c r="G191" i="4"/>
  <c r="G189" i="4"/>
  <c r="G188" i="4"/>
  <c r="G187" i="4"/>
  <c r="G186" i="4"/>
  <c r="G184" i="4"/>
  <c r="G182" i="4"/>
  <c r="G180" i="4"/>
  <c r="G178" i="4"/>
  <c r="G177" i="4"/>
  <c r="G176" i="4"/>
  <c r="G175" i="4"/>
  <c r="G172" i="4"/>
  <c r="G171" i="4"/>
  <c r="G169" i="4"/>
  <c r="G168" i="4"/>
  <c r="G167" i="4"/>
  <c r="G165" i="4"/>
  <c r="G164" i="4"/>
  <c r="G163" i="4"/>
  <c r="G162" i="4"/>
  <c r="G161" i="4"/>
  <c r="G159" i="4"/>
  <c r="G158" i="4"/>
  <c r="G157" i="4"/>
  <c r="G156" i="4"/>
  <c r="G155" i="4"/>
  <c r="G154" i="4"/>
  <c r="G153" i="4"/>
  <c r="G152" i="4"/>
  <c r="G150" i="4"/>
  <c r="G149" i="4"/>
  <c r="G148" i="4"/>
  <c r="G147" i="4"/>
  <c r="G144" i="4"/>
  <c r="G143" i="4"/>
  <c r="G142" i="4"/>
  <c r="G141" i="4"/>
  <c r="G140" i="4"/>
  <c r="G139" i="4"/>
  <c r="G138" i="4"/>
  <c r="G137" i="4"/>
  <c r="G134" i="4"/>
  <c r="G132" i="4"/>
  <c r="G131" i="4"/>
  <c r="G130" i="4"/>
  <c r="G129" i="4"/>
  <c r="G127" i="4"/>
  <c r="G126" i="4"/>
  <c r="G125" i="4"/>
  <c r="G124" i="4"/>
  <c r="G123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8" i="4"/>
  <c r="G107" i="4"/>
  <c r="G105" i="4"/>
  <c r="G104" i="4"/>
  <c r="G102" i="4"/>
  <c r="G101" i="4"/>
  <c r="G100" i="4"/>
  <c r="G99" i="4"/>
  <c r="G97" i="4"/>
  <c r="G96" i="4"/>
  <c r="G95" i="4"/>
  <c r="G94" i="4"/>
  <c r="G93" i="4"/>
  <c r="G92" i="4"/>
  <c r="G91" i="4"/>
  <c r="G89" i="4"/>
  <c r="G88" i="4"/>
  <c r="G87" i="4"/>
  <c r="G86" i="4"/>
  <c r="G85" i="4"/>
  <c r="G84" i="4"/>
  <c r="G83" i="4"/>
  <c r="G82" i="4"/>
  <c r="G81" i="4"/>
  <c r="G80" i="4"/>
  <c r="G78" i="4"/>
  <c r="G77" i="4"/>
  <c r="G76" i="4"/>
  <c r="G75" i="4"/>
  <c r="G74" i="4"/>
  <c r="G73" i="4"/>
  <c r="G72" i="4"/>
  <c r="G71" i="4"/>
  <c r="G70" i="4"/>
  <c r="G69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0" i="4"/>
  <c r="G47" i="4"/>
  <c r="G46" i="4"/>
  <c r="G45" i="4"/>
  <c r="G44" i="4"/>
  <c r="G43" i="4"/>
  <c r="G42" i="4"/>
  <c r="G41" i="4"/>
  <c r="G39" i="4"/>
  <c r="G38" i="4"/>
  <c r="G37" i="4"/>
  <c r="G36" i="4"/>
  <c r="G35" i="4"/>
  <c r="G32" i="4"/>
  <c r="G31" i="4"/>
  <c r="G30" i="4"/>
  <c r="G29" i="4"/>
  <c r="G27" i="4"/>
  <c r="G26" i="4"/>
  <c r="G25" i="4"/>
  <c r="G24" i="4"/>
  <c r="G22" i="4"/>
  <c r="G20" i="4"/>
  <c r="G17" i="4"/>
  <c r="G16" i="4"/>
  <c r="G15" i="4"/>
  <c r="G14" i="4"/>
  <c r="G12" i="4"/>
  <c r="G11" i="4"/>
  <c r="G10" i="4"/>
  <c r="G9" i="4"/>
  <c r="G8" i="4"/>
  <c r="G205" i="4" s="1"/>
  <c r="G7" i="4"/>
  <c r="G6" i="4"/>
  <c r="G206" i="4" s="1"/>
  <c r="G5" i="4"/>
  <c r="G4" i="4"/>
</calcChain>
</file>

<file path=xl/sharedStrings.xml><?xml version="1.0" encoding="utf-8"?>
<sst xmlns="http://schemas.openxmlformats.org/spreadsheetml/2006/main" count="3097" uniqueCount="654">
  <si>
    <t>Producto</t>
  </si>
  <si>
    <t>Precio_kg</t>
  </si>
  <si>
    <t>ABACA</t>
  </si>
  <si>
    <t>ACEITE CRUDO DE PALMA O ACEITE ROJO</t>
  </si>
  <si>
    <t>ACEITE DE PALMA</t>
  </si>
  <si>
    <t>ACEITE DE PALMISTE</t>
  </si>
  <si>
    <t>ACEITE VEGETAL - COCINERO</t>
  </si>
  <si>
    <t>ACEITE VEGETAL - FAVORITA</t>
  </si>
  <si>
    <t>ACEITE VEGETAL - GIRASOL</t>
  </si>
  <si>
    <t>ACELGA</t>
  </si>
  <si>
    <t>ACHILLEA</t>
  </si>
  <si>
    <t>ACHIOTE</t>
  </si>
  <si>
    <t>AGAPANTHUS</t>
  </si>
  <si>
    <t>AGUACATE</t>
  </si>
  <si>
    <t>AGUACATE FUERTE</t>
  </si>
  <si>
    <t>AJI</t>
  </si>
  <si>
    <t>AJO</t>
  </si>
  <si>
    <t>AJO BULBO SECO</t>
  </si>
  <si>
    <t>AJONJOLI</t>
  </si>
  <si>
    <t>ALCACHOFA</t>
  </si>
  <si>
    <t>ALFALFA</t>
  </si>
  <si>
    <t>ALGODON</t>
  </si>
  <si>
    <t>AMARANTO</t>
  </si>
  <si>
    <t>AMY N – GARDENIA</t>
  </si>
  <si>
    <t>ANÉMONA</t>
  </si>
  <si>
    <t>APIO</t>
  </si>
  <si>
    <t>ARANDANO</t>
  </si>
  <si>
    <t>https://www.mercadolibre.com.ec/arandanos-1kg/up/MECU2433844981#polycard_client=search-nordic&amp;searchVariation=MECU2433844981&amp;position=8&amp;search_layout=stack&amp;type=product&amp;tracking_id=52b1c762-36eb-42fb-9915-a22b6e92384e&amp;wid=MEC525331154&amp;sid=search</t>
  </si>
  <si>
    <t>ARÁNDANO</t>
  </si>
  <si>
    <t>ARAZA</t>
  </si>
  <si>
    <t>ÁRBOLES FORESTALES</t>
  </si>
  <si>
    <t>ARROCILLO</t>
  </si>
  <si>
    <t>ARROZ</t>
  </si>
  <si>
    <t>ARROZ (PILADO)</t>
  </si>
  <si>
    <t>ARROZ BLANCO 15% GRANO PARTIDO</t>
  </si>
  <si>
    <t>ARROZ CASCARA</t>
  </si>
  <si>
    <t>ARROZ CÁSCARA</t>
  </si>
  <si>
    <t>ARROZ EN CÁSCARA GRANO CORTO</t>
  </si>
  <si>
    <t>ARROZ EN CÁSCARA GRANO LARGO</t>
  </si>
  <si>
    <t>ARROZ ENVEJECIDO ARTIFICIAL</t>
  </si>
  <si>
    <t>ARROZ PILADO ENVEJECIDO ARTIFICIAL</t>
  </si>
  <si>
    <t>ARROZ PILADO ENVEJECIDO NATURAL</t>
  </si>
  <si>
    <t>ARROZ PILADO NATURAL GRANO CORTO</t>
  </si>
  <si>
    <t>ARROZ PILADO NATURAL GRANO LARGO</t>
  </si>
  <si>
    <t>ARROZ_duplicated_508</t>
  </si>
  <si>
    <t>ARVEJA SECA</t>
  </si>
  <si>
    <t>ARVEJA SECA (GRANO SECO)</t>
  </si>
  <si>
    <t>ARVEJA SECA (GRANO_x000D_
SECO)</t>
  </si>
  <si>
    <t>ARVEJA SECA (VAINA SECA)</t>
  </si>
  <si>
    <t>ARVEJA SECA (VAINA_x000D_
SECA)</t>
  </si>
  <si>
    <t>ARVEJA TIERNA (GRANO TIERNO)</t>
  </si>
  <si>
    <t>ARVEJA TIERNA (GRANO_x000D_
TIERNO)</t>
  </si>
  <si>
    <t>ARVEJA TIERNA (VAINA)</t>
  </si>
  <si>
    <t>ARVEJA TIERNA EN VAINA</t>
  </si>
  <si>
    <t>ARVEJA TIERNA EN VAINA-QUANTUM</t>
  </si>
  <si>
    <t>ASNO</t>
  </si>
  <si>
    <t>ASTER</t>
  </si>
  <si>
    <t>ASTROMELLAS</t>
  </si>
  <si>
    <t>AVENA</t>
  </si>
  <si>
    <t xml:space="preserve">AVENA </t>
  </si>
  <si>
    <t>AVENA FORRAJERA</t>
  </si>
  <si>
    <t>https://www.lacobacha.com.ec/producto/avena-semilla-forrajera-pastos-vicia-potrero-abono-verde-bol/</t>
  </si>
  <si>
    <t>AVENA HOJUELAS</t>
  </si>
  <si>
    <t>AVESTRUCES</t>
  </si>
  <si>
    <t>https://www.eltelegrafo.com.ec/noticias/economia/1/diez-productos-del-avestruz-buscan-mercado?utm_source=chatgpt.com</t>
  </si>
  <si>
    <t>AZÚCAR - CONTRATO 11</t>
  </si>
  <si>
    <t>AZÚCAR - CONTRATO 5</t>
  </si>
  <si>
    <t>AZÚCAR BLANCA</t>
  </si>
  <si>
    <t>BABACO</t>
  </si>
  <si>
    <t>BADEA</t>
  </si>
  <si>
    <t>BALANCEADO PARA CAMARÓN</t>
  </si>
  <si>
    <t>BAMBÚ O CAÑA GUADUA</t>
  </si>
  <si>
    <t>BANANO - CAVENDISH</t>
  </si>
  <si>
    <t>BANANO (GUINEO)</t>
  </si>
  <si>
    <t>BANANO CAVENDISH</t>
  </si>
  <si>
    <t>BANANO CAVENDISH ENANO</t>
  </si>
  <si>
    <t>BANANO CAVENDISH SPOT</t>
  </si>
  <si>
    <t>BANANO DE EXPORTACION</t>
  </si>
  <si>
    <t>BANANO DE EXPORTACIÓN</t>
  </si>
  <si>
    <t>BANANO DE_x000D_
EXPORTACION</t>
  </si>
  <si>
    <t>BARBECHO O RASTROJO</t>
  </si>
  <si>
    <t>file:///C:/Users/User/Downloads/Dialnet-ResiduosRevalorizablesUnaOportunidadDeDesarrolloMa-9642347.pdf</t>
  </si>
  <si>
    <t>BOROJO</t>
  </si>
  <si>
    <t>BOSQUES ARTIFICIALES</t>
  </si>
  <si>
    <t>BOVINO A LA CANAL</t>
  </si>
  <si>
    <t xml:space="preserve"> </t>
  </si>
  <si>
    <t>BOVINO EN PIE - TORETES</t>
  </si>
  <si>
    <t>BOVINO EN PIE - TOROS</t>
  </si>
  <si>
    <t>BOVINO EN PIE - VACAS</t>
  </si>
  <si>
    <t>BOVINO EN PIE - VACONAS</t>
  </si>
  <si>
    <t>BRACHIARIA</t>
  </si>
  <si>
    <t>https://agrizon.com/products/brachiaria-decumbes-1-kg</t>
  </si>
  <si>
    <t>BROCOLI</t>
  </si>
  <si>
    <t>BRÓCOLI</t>
  </si>
  <si>
    <t>CABALLAR</t>
  </si>
  <si>
    <t>https://www.selinawamucii.com/es/perspectivas/precios/ecuador/carne-de-caballo/#google_vignette</t>
  </si>
  <si>
    <t>CABUYA</t>
  </si>
  <si>
    <t>CACAO</t>
  </si>
  <si>
    <t>CACAO (ALMENDRA SECA)</t>
  </si>
  <si>
    <t>CACAO CCN51 ALMENDRA SECA</t>
  </si>
  <si>
    <t>CACAO CCN51 O RAMILLA (ALMENDRA FRESCA)</t>
  </si>
  <si>
    <t>CACAO CCN51 O RAMILLA (ALMENDRA SECA)</t>
  </si>
  <si>
    <t>CACAO CCN51 O_x000D_
RAMILLA(ALMENDRA_x000D_
FRESCA O BABA)</t>
  </si>
  <si>
    <t>CACAO CCN51 O_x000D_
RAMILLA(ALMENDRA_x000D_
SECA)</t>
  </si>
  <si>
    <t>CACAO FINO DE AROMA (ALMENDRA FRESCA)</t>
  </si>
  <si>
    <t>CACAO FINO DE AROMA (ALMENDRA SECA)</t>
  </si>
  <si>
    <t>CACAO FINO DE AROMA ALMENDRA SECA</t>
  </si>
  <si>
    <t>CACAO FINO DE_x000D_
AROMA(ALMENDRA_x000D_
FRESCA O BABA)</t>
  </si>
  <si>
    <t>CACAO FINO DE_x000D_
AROMA(ALMENDRA_x000D_
SECA)</t>
  </si>
  <si>
    <t>CAFÉ  ARABIGO (CEREZA FRESCA O MADURA)</t>
  </si>
  <si>
    <t>CAFÉ (GRANO ORO)</t>
  </si>
  <si>
    <t>CAFÉ ARÁBIGA</t>
  </si>
  <si>
    <t>CAFÉ ARABIGO (CEREZA O BOLA SECA)</t>
  </si>
  <si>
    <t>CAFÉ ARABIGO (GRANO ORO)</t>
  </si>
  <si>
    <t>CAFÉ ARÁBIGO (GRANO ORO)</t>
  </si>
  <si>
    <t>CAFÉ ARABIGO (PERGAMINO OREADO)</t>
  </si>
  <si>
    <t>CAFÉ ARABIGO (PERGAMINO SECO)</t>
  </si>
  <si>
    <t>CAFÉ ARÁBIGO GRANO ORO</t>
  </si>
  <si>
    <t>CAFE ARABIGO_x000D_
(CEREZA FRESCA O_x000D_
MADURA)</t>
  </si>
  <si>
    <t>CAFE ARABIGO_x000D_
(CEREZA O BOLA_x000D_
SECA)</t>
  </si>
  <si>
    <t>CAFÉ ROBUSTA</t>
  </si>
  <si>
    <t>CAFÉ ROBUSTA (CEREZA FRESCA O MADURA)</t>
  </si>
  <si>
    <t>CAFÉ ROBUSTA (CEREZA O BOLA SECA)</t>
  </si>
  <si>
    <t>CAFÉ ROBUSTA (GRANO ORO)</t>
  </si>
  <si>
    <t>CAFÉ ROBUSTA CEREZA</t>
  </si>
  <si>
    <t>CAFE ROBUSTA_x000D_
(CEREZA FRESCA O_x000D_
MADURA)</t>
  </si>
  <si>
    <t>CAFE ROBUSTA_x000D_
(CEREZA O BOLA_x000D_
SECA)</t>
  </si>
  <si>
    <t>CAIMITO</t>
  </si>
  <si>
    <t>https://www.plantas.ec/product/caimitom/</t>
  </si>
  <si>
    <t>CAMOTE</t>
  </si>
  <si>
    <t>CAÑA DE AZÚCAR / AZÚCAR</t>
  </si>
  <si>
    <t>CAÑA DE AZUCAR / OTROS USOS</t>
  </si>
  <si>
    <t>CAÑA DE AZÚCAR / OTROS USOS</t>
  </si>
  <si>
    <t>CAÑA DE AZUCAR /_x000D_
AZUCAR</t>
  </si>
  <si>
    <t>CAÑA DE AZUCAR /_x000D_
OTROS USOS</t>
  </si>
  <si>
    <t>CAÑA DE AZUCAR /BIOCOMBUSTIBLE</t>
  </si>
  <si>
    <t>CAÑA DE AZÚCAR /BIOCOMBUSTIBLE</t>
  </si>
  <si>
    <t>CAÑA DE AZÚCAR PARA AZÚCAR</t>
  </si>
  <si>
    <t>CAÑA DE AZÚCAR TALLO FRESCO</t>
  </si>
  <si>
    <t>CAÑA FORRAJERA</t>
  </si>
  <si>
    <t>CAPRINO</t>
  </si>
  <si>
    <t>CAPULI</t>
  </si>
  <si>
    <t>CARTUCHO - CALA</t>
  </si>
  <si>
    <t>CAUCHO</t>
  </si>
  <si>
    <t>https://www.ecocaucho.com.ec/producto/caucho-para-cesped/</t>
  </si>
  <si>
    <t>CEBADA</t>
  </si>
  <si>
    <t>CEBADA EN GRANO CONSUMO HUMANO</t>
  </si>
  <si>
    <t>CEBADA FORRAJERA</t>
  </si>
  <si>
    <t>CEBOLLA BLANCA</t>
  </si>
  <si>
    <t>CEBOLLA BLANCA EN RAMA</t>
  </si>
  <si>
    <t>CEBOLLA COLORADA</t>
  </si>
  <si>
    <t>CEBOLLA COLORADA NACIONAL HÚMEDA</t>
  </si>
  <si>
    <t>CEBOLLA COLORADA NACIONAL SECA</t>
  </si>
  <si>
    <t>CEBOLLA COLORADA PERUANA SECA</t>
  </si>
  <si>
    <t>CEBOLLA COLORADA SECA Y LIMPIA DE PRIMERA</t>
  </si>
  <si>
    <t>CEBOLLA PERLA</t>
  </si>
  <si>
    <t>CEBOLLA PERLA NACIONAL SECA</t>
  </si>
  <si>
    <t>CEBOLLA PERLA ROJA</t>
  </si>
  <si>
    <t>CEBOLLA PERLA SECA Y LIMPIA DE PRIMERA</t>
  </si>
  <si>
    <t>CENTENO</t>
  </si>
  <si>
    <t>CENTENO FORRAJERO</t>
  </si>
  <si>
    <t>CERDO EN PIE - DESCARTE</t>
  </si>
  <si>
    <t>CERDO EN PIE - ENGORDE</t>
  </si>
  <si>
    <t>CERDO EN PIE PARA FAENAMIENTO</t>
  </si>
  <si>
    <t>CEREZA</t>
  </si>
  <si>
    <t>https://organicos.mamey.org/producto/cerezas-250-gr-no-organicas/?srsltid=AfmBOop_FxXiRBCHH5oh1WN2wUtqMFqRogXOVv3qK6Sm6eKgDaY5Uklb</t>
  </si>
  <si>
    <t>CHIRIMOYA</t>
  </si>
  <si>
    <t>CHOCHO</t>
  </si>
  <si>
    <t>CILANTRO</t>
  </si>
  <si>
    <t>CIRUELO</t>
  </si>
  <si>
    <t>CLAUDIA</t>
  </si>
  <si>
    <t>CLAVEL</t>
  </si>
  <si>
    <t>COCO (COCOTERO)</t>
  </si>
  <si>
    <t>COCO MANILA</t>
  </si>
  <si>
    <t>COCO SECO</t>
  </si>
  <si>
    <t>CODORNICES</t>
  </si>
  <si>
    <t>https://www.carniceriaelcarni.com/producto/codornices/?v=3b0903ff8db1#:~:text=El%20kilo%20le%20sale%20a%205%2C99%E2%82%AC&amp;text=Se%20venden%20por%20piezas.</t>
  </si>
  <si>
    <t>COL</t>
  </si>
  <si>
    <t>COLIFLOR</t>
  </si>
  <si>
    <t>CRASPEDIAS</t>
  </si>
  <si>
    <t>CRISANTEMOS – POMPONES</t>
  </si>
  <si>
    <t>DALIS</t>
  </si>
  <si>
    <t>https://www.selinawamucii.com/es/perspectivas/precios/ecuador/datiles/?utm_source=chatgpt.com</t>
  </si>
  <si>
    <t>DELPHINIUM  (LACKPUR)</t>
  </si>
  <si>
    <t>DELPHINIUM (LACKPUR)</t>
  </si>
  <si>
    <t>DESCANSO</t>
  </si>
  <si>
    <t>DURAZNO (MELOCOTON)</t>
  </si>
  <si>
    <t>DURAZNO_x000D_
(MELOCOTON)</t>
  </si>
  <si>
    <t>ENGORDE PARA CERDOS</t>
  </si>
  <si>
    <t>ERYNGIUM</t>
  </si>
  <si>
    <t>ESPARRAGO</t>
  </si>
  <si>
    <t>ESPINACA</t>
  </si>
  <si>
    <t>FIDEO LAZO CHICO</t>
  </si>
  <si>
    <t>FINAL - ENGORDE PARA AVES-BROILER</t>
  </si>
  <si>
    <t>FRÉJOL AMARILLO SECO</t>
  </si>
  <si>
    <t>FRÉJOL EN VAINA - GEMA</t>
  </si>
  <si>
    <t>FRÉJOL ROJO TIERNO EN VAINA</t>
  </si>
  <si>
    <t>FREJOL SECO (GRANO SECO)</t>
  </si>
  <si>
    <t>FREJOL SECO (GRANO_x000D_
SECO)</t>
  </si>
  <si>
    <t>FRÉJOL SECO (NO SELECCIONADO)</t>
  </si>
  <si>
    <t>FREJOL SECO (VAINA SECA)</t>
  </si>
  <si>
    <t>FREJOL SECO (VAINA_x000D_
SECA)</t>
  </si>
  <si>
    <t>FRÉJOL SECO BAYO BOLON</t>
  </si>
  <si>
    <t>FRÉJOL SECO CANARIO</t>
  </si>
  <si>
    <t>FRÉJOL SECO PANAMITO</t>
  </si>
  <si>
    <t>FREJOL TIERNO (GRANO TIERNO)</t>
  </si>
  <si>
    <t>FREJOL TIERNO (GRANO_x000D_
TIERNO)</t>
  </si>
  <si>
    <t>FREJOL TIERNO (VAINA)</t>
  </si>
  <si>
    <t>FRÉJOL TIERNO EN VAINA BLANCO LECHE</t>
  </si>
  <si>
    <t>FRÉJOL TIERNO EN VAINA CANARIO</t>
  </si>
  <si>
    <t>FRÉJOL TIERNO EN VAINA CARGABELLO</t>
  </si>
  <si>
    <t>FREJOL TIERNO EN VAINA CENTENARIO</t>
  </si>
  <si>
    <t>FRUTILLA</t>
  </si>
  <si>
    <t>FRUTILLAS O FRESAS</t>
  </si>
  <si>
    <t>FRUTILLAS O_x000D_
FRESAS</t>
  </si>
  <si>
    <t>GALLINAS PONEDORAS</t>
  </si>
  <si>
    <t>GALLINAS REPRODUCTORAS</t>
  </si>
  <si>
    <t>GALLOS Y GALLINAS</t>
  </si>
  <si>
    <t>GERBERAS</t>
  </si>
  <si>
    <t>GIRASOLES</t>
  </si>
  <si>
    <t>GLADIOLOS</t>
  </si>
  <si>
    <t>GRAMALOTE</t>
  </si>
  <si>
    <t>GRANADILLA</t>
  </si>
  <si>
    <t>GUABA</t>
  </si>
  <si>
    <t>GUANABANA</t>
  </si>
  <si>
    <t>GUAYABA</t>
  </si>
  <si>
    <t>GYSOPHILLA</t>
  </si>
  <si>
    <t>HABA SECA</t>
  </si>
  <si>
    <t>HABA SECA (GRANO SECO)</t>
  </si>
  <si>
    <t>HABA SECA (GRANO_x000D_
SECO)</t>
  </si>
  <si>
    <t>HABA SECA (VAINA SECA)</t>
  </si>
  <si>
    <t>HABA SECA (VAINA_x000D_
SECA)</t>
  </si>
  <si>
    <t>HABA TIERNA (GRANO TIERNO)</t>
  </si>
  <si>
    <t>HABA TIERNA (GRANO_x000D_
TIERNO)</t>
  </si>
  <si>
    <t>HABA TIERNA (VAINA)</t>
  </si>
  <si>
    <t>HABA TIERNA EN VAINA</t>
  </si>
  <si>
    <t>HARINA DE PESCADO 50 % DE PROTEÍNA</t>
  </si>
  <si>
    <t>HARINA DE PESCADO 58% DE PROTEÍNA</t>
  </si>
  <si>
    <t>HARINA DE PESCADO 65 % DE PROTEÍNA</t>
  </si>
  <si>
    <t>HARINA DE TRIGO - PANADERÍA</t>
  </si>
  <si>
    <t>HARINA DE TRIGO - REPOSTERÍA</t>
  </si>
  <si>
    <t>HIDRRANGIA HORTENCIA</t>
  </si>
  <si>
    <t>HIGO</t>
  </si>
  <si>
    <t>https://www.selinawamucii.com/es/perspectivas/precios/ecuador/higos/?utm_source=chatgpt.com</t>
  </si>
  <si>
    <t>HIGUERILLA</t>
  </si>
  <si>
    <t>HUERTO FRUTAL</t>
  </si>
  <si>
    <t>https://ianser.ec/pulpas-de-frutas/1828-pulpa-de-fruta-maracuya-1-kilo.html</t>
  </si>
  <si>
    <t>HUERTO HORTICOLA</t>
  </si>
  <si>
    <t>https://sipa.agricultura.gob.ec/index.php/boletin-nacional-precios-mayoristas/2022-mayoristas</t>
  </si>
  <si>
    <t>HUEVO GRANDE</t>
  </si>
  <si>
    <t>Ministerio de agricultura y ganaderia</t>
  </si>
  <si>
    <t>HUEVO MEDIANO</t>
  </si>
  <si>
    <t>https://maizysoya.com/lector.php?id=20170312&amp;utm</t>
  </si>
  <si>
    <t>HUEVO PEQUEÑO</t>
  </si>
  <si>
    <t>HUEVOS GRANDE</t>
  </si>
  <si>
    <t>HUEVOS MEDIANO</t>
  </si>
  <si>
    <t>HUEVOS PEQUEÑOS</t>
  </si>
  <si>
    <t>HYPERICUM</t>
  </si>
  <si>
    <t>IRIS - LIRIOS</t>
  </si>
  <si>
    <t>JAMAICA</t>
  </si>
  <si>
    <t>JANEIRO</t>
  </si>
  <si>
    <t>JENGIBRE</t>
  </si>
  <si>
    <t>KIKUYO</t>
  </si>
  <si>
    <t>https://www.facebook.com/groups/clubagricultoresyganaderosecuador/posts/3083468948561363/</t>
  </si>
  <si>
    <t>LECHE</t>
  </si>
  <si>
    <t>LECHE CRUDA</t>
  </si>
  <si>
    <t>https://marcatv.ec/noticias/2086-ley-establece-nuevo-precio-minimo-del-litro-de-leche-cruda?utm_source</t>
  </si>
  <si>
    <t>LECHE PASTEURIZADA EMPAQUE EN FUNDA PLÁSTICA - ENTERA HOMOGENEIZADA</t>
  </si>
  <si>
    <t>https://ecuadorverifica.org/2022/05/04/la-leche-sube-de-precio/?utm_source</t>
  </si>
  <si>
    <t>LECHE UHT - ENTERA</t>
  </si>
  <si>
    <t>https://www.elcomercio.com/actualidad/negocios/ley-precio-minimo-litro-leche-cruda.html</t>
  </si>
  <si>
    <t>LECHERO PARA BOVINOS</t>
  </si>
  <si>
    <t>LECHUGA</t>
  </si>
  <si>
    <t>LENTEJA</t>
  </si>
  <si>
    <t>LENTEJA FORRAJERA</t>
  </si>
  <si>
    <t>LILIUM</t>
  </si>
  <si>
    <t>LIMA</t>
  </si>
  <si>
    <t>https://www.alimentosmadretierra.com/producto/limas/</t>
  </si>
  <si>
    <t>LIMON</t>
  </si>
  <si>
    <t>LIMÓN</t>
  </si>
  <si>
    <t>LIMÓN  (REFERENCIA LIMÓN SUTIL)</t>
  </si>
  <si>
    <t>LIMÓN  SUTIL</t>
  </si>
  <si>
    <t>LIMÓN SUTIL</t>
  </si>
  <si>
    <t>LIMONIUM - STATICE</t>
  </si>
  <si>
    <t>LINAZA</t>
  </si>
  <si>
    <t>LISIANTHUS</t>
  </si>
  <si>
    <t>LYATRIS</t>
  </si>
  <si>
    <t>MACADAMIA</t>
  </si>
  <si>
    <t>$ 32,25</t>
  </si>
  <si>
    <t>https://www.jirehgourmet.com/product-page/macadamia-macadamia?srsltid=AfmBOooDNdZ19f7McvYEOrdY8Kou0HkW8o_syJh80XMzl3gieUT6OW_C</t>
  </si>
  <si>
    <t>MAÍZ AMARILLO 15% EMBOLSADO</t>
  </si>
  <si>
    <t>MAÍZ AMARILLO CHOCLO</t>
  </si>
  <si>
    <t>MAÍZ AMARILLO NO. 2</t>
  </si>
  <si>
    <t>MAÍZ DURO AMARILLO (SECO Y LIMPIO)</t>
  </si>
  <si>
    <t>MAÍZ DURO AMARILLO (SUCIO Y HÚMEDO)</t>
  </si>
  <si>
    <t>MAÍZ DURO CHOCLO</t>
  </si>
  <si>
    <t>MAIZ DURO CHOCLO (CHOCLO)</t>
  </si>
  <si>
    <t>MAÍZ DURO CHOCLO (CHOCLO)</t>
  </si>
  <si>
    <t>MAIZ DURO CHOCLO_x000D_
(CHOCLO)</t>
  </si>
  <si>
    <t>MAÍZ DURO SECO</t>
  </si>
  <si>
    <t>MAIZ DURO SECO (GRANO SECO)</t>
  </si>
  <si>
    <t>MAÍZ DURO SECO (GRANO SECO)</t>
  </si>
  <si>
    <t>MAIZ DURO SECO (MAZORCA)</t>
  </si>
  <si>
    <t>MAIZ DURO SECO_x000D_
(GRANO SECO)</t>
  </si>
  <si>
    <t>MAIZ DURO SECO_x000D_
(MAZORCA)</t>
  </si>
  <si>
    <t>MAIZ FORRAJERO</t>
  </si>
  <si>
    <t>https://www.lacobacha.com.ec/producto/maiz-forrajero-bolsa-4-5-kg/</t>
  </si>
  <si>
    <t>MAÍZ SUAVE CHOCLO</t>
  </si>
  <si>
    <t>MAIZ SUAVE CHOCLO (CHOCLO)</t>
  </si>
  <si>
    <t>MAÍZ SUAVE CHOCLO (CHOCLO)</t>
  </si>
  <si>
    <t>MAIZ SUAVE CHOCLO_x000D_
(CHOCLO)</t>
  </si>
  <si>
    <t>MAÍZ SUAVE SECO  BLANCO - MOTE</t>
  </si>
  <si>
    <t>MAÍZ SUAVE SECO (BLANCO-SEMILLA)</t>
  </si>
  <si>
    <t>MAIZ SUAVE SECO (GRANO SECO)</t>
  </si>
  <si>
    <t>MAÍZ SUAVE SECO (GRANO SECO)</t>
  </si>
  <si>
    <t>MAIZ SUAVE SECO (MAZORCA)</t>
  </si>
  <si>
    <t>MAÍZ SUAVE SECO AMARILLO - TOSTADO</t>
  </si>
  <si>
    <t>MAIZ SUAVE SECO_x000D_
(GRANO SECO)</t>
  </si>
  <si>
    <t>MAIZ SUAVE SECO_x000D_
(MAZORCA)</t>
  </si>
  <si>
    <t>MALANGA</t>
  </si>
  <si>
    <t>MAMEY</t>
  </si>
  <si>
    <t>$ 2,14</t>
  </si>
  <si>
    <t>https://coralhipermercados.com/mamey-kilo-2143.html</t>
  </si>
  <si>
    <t>MANDARINA</t>
  </si>
  <si>
    <t>MANDARINA (COSTA)</t>
  </si>
  <si>
    <t>MANDARINA (SIERRA)</t>
  </si>
  <si>
    <t>MANDARINA DE LA COSTA</t>
  </si>
  <si>
    <t>MANDARINA DE LA SIERRA</t>
  </si>
  <si>
    <t>MANGO</t>
  </si>
  <si>
    <t>MANGO DE CHUPAR</t>
  </si>
  <si>
    <t>MANI</t>
  </si>
  <si>
    <t>MANÍ</t>
  </si>
  <si>
    <t>MANÍ EN GRANO</t>
  </si>
  <si>
    <t>MANÍ EN VAINA</t>
  </si>
  <si>
    <t>MANTEQUILLA</t>
  </si>
  <si>
    <t>MANZANA</t>
  </si>
  <si>
    <t>MANZANA IMPORTADA</t>
  </si>
  <si>
    <t>MARACUYA</t>
  </si>
  <si>
    <t>MARACUYÁ</t>
  </si>
  <si>
    <t>MARANDU</t>
  </si>
  <si>
    <t>https://www.facebook.com/groups/278570196757756/posts/1011086883506080/</t>
  </si>
  <si>
    <t>MARAÑON</t>
  </si>
  <si>
    <t>MARAÑÓN</t>
  </si>
  <si>
    <t>https://spp.coop/wp-content/uploads/2020/06/2.5-ES_Lista_Precios_SPP_V15.0_2023-07-16.pdf</t>
  </si>
  <si>
    <t>MASHUA</t>
  </si>
  <si>
    <t>MELAZA</t>
  </si>
  <si>
    <t>MELLOCO</t>
  </si>
  <si>
    <t>MELLOCO AMARILLO</t>
  </si>
  <si>
    <t>MELLOCO BLANCO</t>
  </si>
  <si>
    <t>MELLOCO CARAMELO</t>
  </si>
  <si>
    <t>MELLOCO ROJO</t>
  </si>
  <si>
    <t>MELON</t>
  </si>
  <si>
    <t>MELÓN</t>
  </si>
  <si>
    <t>MENBRILLO</t>
  </si>
  <si>
    <t>https://www.supermaxi.com/producto/membrillo-en-crema-helios-170-g/</t>
  </si>
  <si>
    <t>MERKERON</t>
  </si>
  <si>
    <t>MICAY</t>
  </si>
  <si>
    <t>MONTES Y BOSQUES NATURALES</t>
  </si>
  <si>
    <t>Semilla De Pasto Elefante | MercadoLibre.com.ec</t>
  </si>
  <si>
    <t>MORA</t>
  </si>
  <si>
    <t>MORA DE CASTILLA</t>
  </si>
  <si>
    <t>MULAR</t>
  </si>
  <si>
    <t xml:space="preserve">Daniel Gonzalez </t>
  </si>
  <si>
    <t>NABO</t>
  </si>
  <si>
    <t>NARANJA</t>
  </si>
  <si>
    <t>NARANJILLA</t>
  </si>
  <si>
    <t>NARANJILLA DE JUGO</t>
  </si>
  <si>
    <t>NARANJILLA HIBRIDA</t>
  </si>
  <si>
    <t>NARANJILLA HÍBRIDA</t>
  </si>
  <si>
    <t>NARANJILLA ROJA PALORA</t>
  </si>
  <si>
    <t>NISPERO</t>
  </si>
  <si>
    <t>NUEZ Ó ALMENDRA DE PALMISTE</t>
  </si>
  <si>
    <t>OCA</t>
  </si>
  <si>
    <t>ORITO</t>
  </si>
  <si>
    <t>ORQUÍDEAS</t>
  </si>
  <si>
    <t>OTRAS FLORES PERMANENTES</t>
  </si>
  <si>
    <t>OTRAS FLORES TRANSITORIAS</t>
  </si>
  <si>
    <t>OTROS BANANOS</t>
  </si>
  <si>
    <t>OTROS FORRAJES</t>
  </si>
  <si>
    <t>OTROS PASTOS CULTIVADOS</t>
  </si>
  <si>
    <t>OTROS PERMANENTES</t>
  </si>
  <si>
    <t>OTROS TRANSITORIOS</t>
  </si>
  <si>
    <t>OTROS USOS</t>
  </si>
  <si>
    <t>OVINO A LA CANAL</t>
  </si>
  <si>
    <t>PALMA AFRICANA</t>
  </si>
  <si>
    <t>PALMA DE ACEITE</t>
  </si>
  <si>
    <t>PALMA DE ACEITE - GUINENSIS</t>
  </si>
  <si>
    <t>PALMA DE ACEITE - HÍBRIDA</t>
  </si>
  <si>
    <t>PALMITO</t>
  </si>
  <si>
    <t>PANELA EN BLOQUE</t>
  </si>
  <si>
    <t>PANELA GRANULADA</t>
  </si>
  <si>
    <t>PAPA</t>
  </si>
  <si>
    <t>PAPA BOLONA</t>
  </si>
  <si>
    <t>PAPA CAPIRO</t>
  </si>
  <si>
    <t>PAPA CHAUCHA</t>
  </si>
  <si>
    <t>PAPA CHINA, PELMA</t>
  </si>
  <si>
    <t>PAPA FRIPAPA</t>
  </si>
  <si>
    <t>PAPA GABRIELA</t>
  </si>
  <si>
    <t>PAPA LEONA BLANCA O CECILIA</t>
  </si>
  <si>
    <t>PAPA NABO</t>
  </si>
  <si>
    <t>PAPA PUZDA</t>
  </si>
  <si>
    <t>PAPA ROSITA</t>
  </si>
  <si>
    <t>PAPA SEMI UVILLA</t>
  </si>
  <si>
    <t>PAPA SÚPER CHOLA</t>
  </si>
  <si>
    <t>PAPA SUPERCHOLA</t>
  </si>
  <si>
    <t>PAPA SUPREMA</t>
  </si>
  <si>
    <t>PAPA ÚNICA</t>
  </si>
  <si>
    <t>PAPA UVILLA O BOLONA</t>
  </si>
  <si>
    <t>PAPAYA</t>
  </si>
  <si>
    <t>PAPAYA CAMILA</t>
  </si>
  <si>
    <t>PAPAYA HAWAIANA</t>
  </si>
  <si>
    <t>PAPAYA NACIONAL</t>
  </si>
  <si>
    <t>PÁRAMOS</t>
  </si>
  <si>
    <t>PASTO AZUL</t>
  </si>
  <si>
    <t>https://www.imporalaska.com/pastos-azules</t>
  </si>
  <si>
    <t>PASTO ELEFANTE</t>
  </si>
  <si>
    <t>PASTO GUINEA</t>
  </si>
  <si>
    <t>https://www.imporalaska.com/panicum</t>
  </si>
  <si>
    <t>PASTO MIEL (CHILENA)</t>
  </si>
  <si>
    <t>PASTO MIXTO</t>
  </si>
  <si>
    <t>https://www.facebook.com/groups/clubagricultoresyganaderosecuador/posts/venta-de-semilla-vegetativa-de-pasto-tift%C3%B3n-85precio-4-el-kgdirecci%C3%B3n-caluma-bol/2382205705354361/</t>
  </si>
  <si>
    <t>PASTOS NATURALES</t>
  </si>
  <si>
    <t>PATOS</t>
  </si>
  <si>
    <t>https://www.supermaxi.com/producto/pato-entero-patottis-al-peso/</t>
  </si>
  <si>
    <t>PAVOS</t>
  </si>
  <si>
    <t>https://www.primicias.ec/economia/precios-pavos-pollos-cerdo-pavipollos-ventas-navidad-84725/</t>
  </si>
  <si>
    <t>PEPINILLO</t>
  </si>
  <si>
    <t>PEPINILLO PEPINO</t>
  </si>
  <si>
    <t>PEPINO DULCE</t>
  </si>
  <si>
    <t>PERA</t>
  </si>
  <si>
    <t>https://www.aki.com.ec/producto/pera-importada-la-original-099-ctvs/</t>
  </si>
  <si>
    <t>PEREJIL</t>
  </si>
  <si>
    <t>PIMIENTA NEGRA (GRANO FRESCO)</t>
  </si>
  <si>
    <t>PIMIENTA NEGRA (GRANO SECO)</t>
  </si>
  <si>
    <t>PIMIENTO</t>
  </si>
  <si>
    <t>PIÑA</t>
  </si>
  <si>
    <t>PIÑA MD-2</t>
  </si>
  <si>
    <t>PIÑA NACIONAL</t>
  </si>
  <si>
    <t>PITAHAYA</t>
  </si>
  <si>
    <t>PLANTAS MEDICINALES</t>
  </si>
  <si>
    <t>PLANTAS MEDICINALES_duplicated_585</t>
  </si>
  <si>
    <t>PLATANO</t>
  </si>
  <si>
    <t>PLÁTANO</t>
  </si>
  <si>
    <t>PLÁTANO 2</t>
  </si>
  <si>
    <t>PLÁTANO BARRAGANETE</t>
  </si>
  <si>
    <t>PLÁTANO BARRAGANETE DE EXPORTACIÓN</t>
  </si>
  <si>
    <t>PLÁTANO BARRAGANETE MADURO</t>
  </si>
  <si>
    <t>PLÁTANO BARRAGANETE VERDE</t>
  </si>
  <si>
    <t>PLÁTANO DOMINICO</t>
  </si>
  <si>
    <t>PLÁTANO DOMINICO MADURO</t>
  </si>
  <si>
    <t>PLÁTANO DOMINICO VERDE</t>
  </si>
  <si>
    <t>PLÁTANO VERDE</t>
  </si>
  <si>
    <t>POLLITOS</t>
  </si>
  <si>
    <t>POLLO EN PIE</t>
  </si>
  <si>
    <t>POLLO FAENADO CON VÍSCERAS</t>
  </si>
  <si>
    <t>POLLO FAENADO SIN VÍSCERAS</t>
  </si>
  <si>
    <t>POLLOS Y POLLAS</t>
  </si>
  <si>
    <t>PORCINO A LA CANAL</t>
  </si>
  <si>
    <t>POSTURA PARA AVES</t>
  </si>
  <si>
    <t>PUERARIA JABANICA</t>
  </si>
  <si>
    <t>QUESO FRESCO MESA</t>
  </si>
  <si>
    <t>QUESO MOZZARELLA</t>
  </si>
  <si>
    <t>QUINUA</t>
  </si>
  <si>
    <t>RABANO</t>
  </si>
  <si>
    <t>RÁBANO</t>
  </si>
  <si>
    <t>RAIGRAS</t>
  </si>
  <si>
    <t>RANUNCULOS</t>
  </si>
  <si>
    <t>RANÚNCULOS</t>
  </si>
  <si>
    <t>REMOLACHA</t>
  </si>
  <si>
    <t>ROMANESCO</t>
  </si>
  <si>
    <t>https://organicos.mamey.org/producto/romanesca/</t>
  </si>
  <si>
    <t>ROSA</t>
  </si>
  <si>
    <t>SABILA</t>
  </si>
  <si>
    <t>https://www.supermercadosantamaria.com/detalle/-/Producto/sabila-kg/31800?srsltid=AfmBOop6s7FHqrUdBy_S_0rnpB0RMHyQJoAaQ5ClJrMZtTjVg4EiQ9Gc</t>
  </si>
  <si>
    <t>SABOYA</t>
  </si>
  <si>
    <t>https://articulo.mercadolibre.com.ec/MEC-525847080-semilla-de-pasto-saboya-verde-_JM?highlight=false&amp;headerTopBrand=false#polycard_client=search-nordic&amp;position=2&amp;search_layout=stack&amp;type=item&amp;tracking_id=949ce180-54a8-4379-bfe5-5e2e84536566&amp;wid=MEC525847080&amp;sid=search</t>
  </si>
  <si>
    <t>SACHA INCHI</t>
  </si>
  <si>
    <t>SANDIA</t>
  </si>
  <si>
    <t>SANDÍA NACIONAL</t>
  </si>
  <si>
    <t>SANDÍA PERUANA</t>
  </si>
  <si>
    <t>SCABIOSAS</t>
  </si>
  <si>
    <t>SETARIA ESPLÉNDIDA</t>
  </si>
  <si>
    <t>https://www.facebook.com/groups/clubagricultoresyganaderosecuador/posts/2228526070722326/?utm_source=chatgpt.com</t>
  </si>
  <si>
    <t>SNAPDRAGON</t>
  </si>
  <si>
    <t>SOLIDAGO</t>
  </si>
  <si>
    <t>SORGO</t>
  </si>
  <si>
    <t>SOYA</t>
  </si>
  <si>
    <t>SUQUINI (ZUCHINI)</t>
  </si>
  <si>
    <t>TABACO</t>
  </si>
  <si>
    <t>TAMARINDO</t>
  </si>
  <si>
    <t>https://www.lacobacha.com.ec/producto/tamarindo-0-45-kg/</t>
  </si>
  <si>
    <t>TAXO</t>
  </si>
  <si>
    <t>TÉ</t>
  </si>
  <si>
    <t>TOMATE DE ARBOL</t>
  </si>
  <si>
    <t>TOMATE DE ÁRBOL</t>
  </si>
  <si>
    <t>TOMATE RIÑON</t>
  </si>
  <si>
    <t>TOMATE RIÑÓN</t>
  </si>
  <si>
    <t>TOMATE RIÑÓN A CAMPO ABIERTO</t>
  </si>
  <si>
    <t>TOMATE RIÑÓN DE INVERNADERO</t>
  </si>
  <si>
    <t>TOMATILLO</t>
  </si>
  <si>
    <t>https://mercadomayorista.quito.gob.ec/</t>
  </si>
  <si>
    <t>TORO EN PIE - DESCARTE</t>
  </si>
  <si>
    <t>TORONJA</t>
  </si>
  <si>
    <t>TORTA DE SOYA</t>
  </si>
  <si>
    <t>TORTA PALMISTE</t>
  </si>
  <si>
    <t>TRACHELIUM</t>
  </si>
  <si>
    <t>TREBOL BLANCO</t>
  </si>
  <si>
    <t>TREBOL ROJO</t>
  </si>
  <si>
    <t>TRIGO</t>
  </si>
  <si>
    <t>TRIGO EN GRANO</t>
  </si>
  <si>
    <t>TRIGO IMPORTADO</t>
  </si>
  <si>
    <t>TRIGO NACIONAL</t>
  </si>
  <si>
    <t>TUNA</t>
  </si>
  <si>
    <t>UVA (VID)</t>
  </si>
  <si>
    <t>UVA NEGRA</t>
  </si>
  <si>
    <t>UVA ROSADA - PERÚ</t>
  </si>
  <si>
    <t>UVA ROSADA-CHILE</t>
  </si>
  <si>
    <t>UVILLA</t>
  </si>
  <si>
    <t>VAINITA</t>
  </si>
  <si>
    <t>VERONICA</t>
  </si>
  <si>
    <t>VERÓNICA</t>
  </si>
  <si>
    <t>VICIA FORRAJERA</t>
  </si>
  <si>
    <t>https://www.lacobacha.com.ec/producto/vicia-semilla-forrajera-pastos-avena-bolsa-de-10-libras/</t>
  </si>
  <si>
    <t>VIVEROS DE PERMANENTES</t>
  </si>
  <si>
    <t>https://es.scribd.com/document/437787698/51970386-Costos-de-Un-Vivero-Forestal</t>
  </si>
  <si>
    <t>VIVEROS TRANSITORIOS</t>
  </si>
  <si>
    <t>https://sipa.agricultura.gob.ec/</t>
  </si>
  <si>
    <t>YARAGUA</t>
  </si>
  <si>
    <t>YOGURT</t>
  </si>
  <si>
    <t>https://www.supermaxi.com/</t>
  </si>
  <si>
    <t>YUCA</t>
  </si>
  <si>
    <t>YUCA AMARGA</t>
  </si>
  <si>
    <t>YUCA BOLONA BLANCA</t>
  </si>
  <si>
    <t>ZAMBO</t>
  </si>
  <si>
    <t>ZANAHORIA AMARILLA</t>
  </si>
  <si>
    <t>ZANAHORIA BLANCA</t>
  </si>
  <si>
    <t>ZAPALLO</t>
  </si>
  <si>
    <t>ZAPALLO (CALABAZA)</t>
  </si>
  <si>
    <t>ZAPOTE</t>
  </si>
  <si>
    <t>Etiquetas de fila</t>
  </si>
  <si>
    <t>Promedio de Precio_kg</t>
  </si>
  <si>
    <t>Total general</t>
  </si>
  <si>
    <t xml:space="preserve">Producto </t>
  </si>
  <si>
    <t xml:space="preserve">Fuente de consulta </t>
  </si>
  <si>
    <t>VALIDADO</t>
  </si>
  <si>
    <t>R_PRECIOS</t>
  </si>
  <si>
    <t xml:space="preserve">https://www.ep-emmpa.gob.ec/images/A2.pdf </t>
  </si>
  <si>
    <t>https://expoflores.com/wp-content/uploads/dlm_uploads/2019/09/Informe-Estados-Unidos-I-Semestre-2019.pdf</t>
  </si>
  <si>
    <t xml:space="preserve">https://bolsadeproductos.com.ec/listing/alcachofa-organica/ </t>
  </si>
  <si>
    <t>https://bolsadeproductos.com.ec/listing/alfalfa-organica/</t>
  </si>
  <si>
    <t>https://repositorio.uta.edu.ec/bitstream/123456789/34566/1/001%20AE.pdf</t>
  </si>
  <si>
    <t>https://docs.google.com/spreadsheets/d/1wvkwvSKo1Wx4eOb_ROz54l-fHf99xfQ9/edit?usp=sharing&amp;ouid=116286942826525926343&amp;rtpof=true&amp;sd=true</t>
  </si>
  <si>
    <t>https://docs.google.com/spreadsheets/d/16oFX8N2UmDNcrp8M0Qxz67mqhaC-d2KA/edit?usp=sharing&amp;ouid=116286942826525926343&amp;rtpof=true&amp;sd=true</t>
  </si>
  <si>
    <t>http://sinagap.mag.gob.ec/sina/PaginasCGSIN/Rep_Pre_Prod_X_MercCGSIN.aspx</t>
  </si>
  <si>
    <t>https://drive.google.com/drive/folders/1eD39_4S5uAbWz9tkviUHvkVctPrw66Ds?usp=sharing</t>
  </si>
  <si>
    <t>https://www.inbar.int/wp-content/uploads/2023/10/2022-Working-Paper_Analisis-de-la-cadena-del-bambu-provincias-de-Napo-Pastaza-Morona-Santiago_Ecuador.pdf</t>
  </si>
  <si>
    <t>https://docs.google.com/spreadsheets/d/1maxdghU0tVMOSUlQXYz0E0pk1Bbx1-8S/edit?usp=sharing&amp;ouid=116286942826525926343&amp;rtpof=true&amp;sd=true</t>
  </si>
  <si>
    <t>http://sipa.agricultura.gob.ec/boletines/nacionales/productor/2022/boletin_precios_productor_diciembre_2022.pdf</t>
  </si>
  <si>
    <t>https://www.oasisdecor.com/tienda/es/22-arboles-artificiales</t>
  </si>
  <si>
    <t>https://docs.google.com/spreadsheets/d/1Q2VE1c3JIoWZHADBfdU2WSZHMc9jSDUo/edit?usp=sharing&amp;ouid=116286942826525926343&amp;rtpof=true&amp;sd=true</t>
  </si>
  <si>
    <t>https://fliphtml5.com/ijia/somz/basic</t>
  </si>
  <si>
    <t>http://sipa.agricultura.gob.ec/descargas/base-estadistica/modulo_economico/precios-agroindustria.xlsx</t>
  </si>
  <si>
    <t xml:space="preserve">Boletín de validación de la ESPAC </t>
  </si>
  <si>
    <t>https://www.agricultura.gob.ec/precio-de-la-tonelada-de-cana-de-azucar-se-mantiene-en-usd-35-05/#:~:text=Mi%C3%A9rcoles%2021%20de%20septiembre%20de,ca%C3%B1a%20de%20az%C3%BAcar%20contin%C3%BAa%20vigente.</t>
  </si>
  <si>
    <t>https://docs.google.com/spreadsheets/d/1ZU2jASE15v1RYMylJ8UML9ZLjUXy1Pzy/edit?usp=sharing&amp;ouid=116286942826525926343&amp;rtpof=true&amp;sd=true</t>
  </si>
  <si>
    <t>https://www.ecomax.store/product-page/capili-kilos</t>
  </si>
  <si>
    <t>https://www.agricultura.gob.ec/organizaciones-de-canar-reciben-210-quintales-de-semilla-de-cebada/#:~:text=El%20precio%20del%20quintal%20de,beneficia%20econ%C3%B3micamente%20a%20los%20agricultores.</t>
  </si>
  <si>
    <t>https://www.ep-emmpa.gob.ec/images/A2.pdf</t>
  </si>
  <si>
    <t>Boletin de validación de la ESPAC</t>
  </si>
  <si>
    <t>https://drive.google.com/file/d/1OYB1rFLs7EAITUYThvTXqoGQQ2DGrALi/view?usp=sharing</t>
  </si>
  <si>
    <t>https://bolsadeproductos.com.ec/listing/planta-de-guaba/</t>
  </si>
  <si>
    <t>Boletín de validación de la ESPAC</t>
  </si>
  <si>
    <t>Boletín de validación de le ESPAC</t>
  </si>
  <si>
    <t>https://articulo.mercadolibre.com.ec/MEC-518005238-semillas-de-higuerilla-o-ricino-25-unds-pvp-20-_JM#position=3&amp;search_layout=stack&amp;type=item&amp;tracking_id=d07c0a24-93c0-44a4-a0b4-02b77bd5876b</t>
  </si>
  <si>
    <t>https://tecnologia.iniap.gob.ec/wp-content/uploads/2023/11/12janeiro.pdf</t>
  </si>
  <si>
    <t>https://www.expreso.ec/actualidad/economia/jengibre-busca-recuperarse-mala-racha-123867.html</t>
  </si>
  <si>
    <t xml:space="preserve">$ 1,00 </t>
  </si>
  <si>
    <t>https://docs.google.com/spreadsheets/d/1eUPFYdRAUydHPElIqTpCUHgwNb0n9qR7/edit?usp=drive_link&amp;ouid=104082838202635312997&amp;rtpof=true&amp;sd=true</t>
  </si>
  <si>
    <t>https://articulo.mercadolibre.com.ec/MEC-528359870-semillas-de-linaza-1lb-_JM#position=1&amp;search_layout=stack&amp;type=item&amp;tracking_id=53e2419a-147a-4d16-a1cf-e2ea4d2ad4b2</t>
  </si>
  <si>
    <t>$ 1,33</t>
  </si>
  <si>
    <t>https://elproductor.com/2021/02/ecuador-primer-exportador-de-malanga-a-ee-uu/</t>
  </si>
  <si>
    <t>$13,00</t>
  </si>
  <si>
    <t>https://www.agricultura.gob.ec/nueva-aplicacion-permite-consultar-precios-mayoristas-de-productos-agropecuarios/#</t>
  </si>
  <si>
    <t>https://pasturastropicales.com/producto/semilla-de-pasto-elefante-morado/</t>
  </si>
  <si>
    <t>https://cronica.com.ec/2024/03/11/nispero-fruta-desconocida-diuretica-y-depurativa/</t>
  </si>
  <si>
    <t>Promedio de las permanentes (Agapanthus, astromellas, cartucho, clavel, gysophilli, hypericum, limonium statice, lisianthus, orquídeas y rosas</t>
  </si>
  <si>
    <t xml:space="preserve">Promedio de todas las transitorias </t>
  </si>
  <si>
    <t>https://agroscopio.com/producto/trebol-blanco-x-1-libra/</t>
  </si>
  <si>
    <t>https://www.lacobacha.com.ec/producto/pasto-semillas-ryegrass/</t>
  </si>
  <si>
    <t>https://rosaprimaec.com/products/ranunculos_rosso</t>
  </si>
  <si>
    <t>https://www.supermercadosantamaria.com/detalle/-/Producto/sabila-kg/31800</t>
  </si>
  <si>
    <t>https://www.ocompra.com/ecuador/buscar/item/sacha/</t>
  </si>
  <si>
    <t>https://www.ocompra.com/ecuador/buscar/item/semillas-de-sorgo-forrajero-certificado-por-kilos/</t>
  </si>
  <si>
    <t>https://www.aromasyespecias.com/producto/te-negro/</t>
  </si>
  <si>
    <t>https://bosquedellobocornio.com/productos/tomatillo-verde/</t>
  </si>
  <si>
    <t>https://www.tia.com.ec/toronja-por-unidad-310114000.html</t>
  </si>
  <si>
    <t>https://www.plantas.ec/product/trebolrojo/</t>
  </si>
  <si>
    <t>https://www.agricultura.gob.ec/la-produccion-de-tuna-una-actividad-rentable/</t>
  </si>
  <si>
    <t>https://jardines.ec/venta-plantas/arbustos-ornamentales/hebe</t>
  </si>
  <si>
    <t>Cantidad</t>
  </si>
  <si>
    <t>Unidad</t>
  </si>
  <si>
    <t xml:space="preserve">Presentación </t>
  </si>
  <si>
    <t>Precio original</t>
  </si>
  <si>
    <t>ABACÁ</t>
  </si>
  <si>
    <t>Libras</t>
  </si>
  <si>
    <t>Quintal</t>
  </si>
  <si>
    <t>Saco</t>
  </si>
  <si>
    <t>Kilogramos</t>
  </si>
  <si>
    <t xml:space="preserve">Kilogramo </t>
  </si>
  <si>
    <t>Gramos</t>
  </si>
  <si>
    <t>Atado</t>
  </si>
  <si>
    <t>Gaveta</t>
  </si>
  <si>
    <t>Falta</t>
  </si>
  <si>
    <t>PRECIOS R</t>
  </si>
  <si>
    <t>Metro</t>
  </si>
  <si>
    <t>Metro lineal</t>
  </si>
  <si>
    <t xml:space="preserve">medidos en superficie </t>
  </si>
  <si>
    <t>Caja</t>
  </si>
  <si>
    <t>http://sinagap.mag.gob.ec/sina/PaginasCGSIN/VisorReporte.aspx</t>
  </si>
  <si>
    <t>130m/180gr</t>
  </si>
  <si>
    <t>Metros/lb</t>
  </si>
  <si>
    <t>Metro/kg</t>
  </si>
  <si>
    <t>https://www.easy.com.co/cabuya-fique-180gr-delgada-x-130m-forte/p</t>
  </si>
  <si>
    <t>Toneladas</t>
  </si>
  <si>
    <t>Tonelada</t>
  </si>
  <si>
    <t>Malla</t>
  </si>
  <si>
    <t>Carga</t>
  </si>
  <si>
    <t>Arroba</t>
  </si>
  <si>
    <t xml:space="preserve">Cartón </t>
  </si>
  <si>
    <t>Unidades</t>
  </si>
  <si>
    <t>Planta</t>
  </si>
  <si>
    <t>Kilogramo</t>
  </si>
  <si>
    <t>Semilla</t>
  </si>
  <si>
    <t>Libra</t>
  </si>
  <si>
    <t>Metro cuadrado</t>
  </si>
  <si>
    <t>Litros</t>
  </si>
  <si>
    <t xml:space="preserve">Litro </t>
  </si>
  <si>
    <t>https://www.freshplaza.es/article/9567805/los-precios-de-las-limas-estan-por-las-nubes-en-ecuador/</t>
  </si>
  <si>
    <t xml:space="preserve">PROMEDIO </t>
  </si>
  <si>
    <t>https://listado.mercadolibre.com.ec/agro/semilla-marandu</t>
  </si>
  <si>
    <t>Boletín de validacion de la ESPAC</t>
  </si>
  <si>
    <t xml:space="preserve">Promedio </t>
  </si>
  <si>
    <t>https://www.elcomercio.com/actualidad/negocios/ocas-dulces-de-diferente-color.html</t>
  </si>
  <si>
    <t>https://docs.google.com/spreadsheets/d/1MjfHp3m4Lmbv4_PeawSfIbrebrHktCl8/edit?usp=drive_link&amp;ouid=104082838202635312997&amp;rtpof=true&amp;sd=true</t>
  </si>
  <si>
    <t xml:space="preserve">promedio de los dos posteriores </t>
  </si>
  <si>
    <t>https://new.mmqep.gob.ec/wp-content/uploads/PRECIOS-30-01-2024.pdf</t>
  </si>
  <si>
    <t>Bolsa</t>
  </si>
  <si>
    <t>Se toma en cuenta el peso del ranánculo</t>
  </si>
  <si>
    <t>Gramo</t>
  </si>
  <si>
    <t>Cartón</t>
  </si>
  <si>
    <t>Maceta</t>
  </si>
  <si>
    <t>Peso de la mazeta 0,115Kg</t>
  </si>
  <si>
    <t xml:space="preserve">Arandano </t>
  </si>
  <si>
    <t xml:space="preserve">Observación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</si>
</sst>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$&quot;* #,##0.00_ ;_ &quot;$&quot;* \-#,##0.00_ ;_ &quot;$&quot;* &quot;-&quot;??_ ;_ @_ "/>
    <numFmt numFmtId="43" formatCode="_ * #,##0.00_ ;_ * \-#,##0.00_ ;_ * &quot;-&quot;??_ ;_ @_ 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i/>
      <sz val="12"/>
      <color theme="1"/>
      <name val="FkGroteskNeue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7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44" fontId="5" fillId="0" borderId="0" xfId="0" applyNumberFormat="1" applyFont="1" applyAlignment="1">
      <alignment horizontal="right"/>
    </xf>
    <xf numFmtId="0" fontId="4" fillId="0" borderId="0" xfId="0" applyFont="1" applyAlignment="1"/>
    <xf numFmtId="0" fontId="6" fillId="0" borderId="0" xfId="0" applyFont="1" applyAlignment="1"/>
    <xf numFmtId="0" fontId="4" fillId="3" borderId="0" xfId="0" applyFont="1" applyFill="1"/>
    <xf numFmtId="0" fontId="4" fillId="4" borderId="0" xfId="0" applyFont="1" applyFill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4" fillId="0" borderId="0" xfId="0" applyFont="1"/>
    <xf numFmtId="0" fontId="12" fillId="0" borderId="0" xfId="0" applyFont="1"/>
    <xf numFmtId="4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44" fontId="5" fillId="0" borderId="0" xfId="0" applyNumberFormat="1" applyFont="1"/>
    <xf numFmtId="0" fontId="13" fillId="0" borderId="0" xfId="0" applyFont="1"/>
    <xf numFmtId="44" fontId="5" fillId="0" borderId="0" xfId="0" applyNumberFormat="1" applyFont="1" applyAlignment="1"/>
    <xf numFmtId="0" fontId="2" fillId="2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2" fontId="5" fillId="0" borderId="1" xfId="0" applyNumberFormat="1" applyFont="1" applyBorder="1"/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43" fontId="3" fillId="2" borderId="1" xfId="0" applyNumberFormat="1" applyFont="1" applyFill="1" applyBorder="1" applyAlignment="1">
      <alignment horizontal="center"/>
    </xf>
    <xf numFmtId="43" fontId="5" fillId="0" borderId="0" xfId="0" applyNumberFormat="1" applyFont="1" applyAlignment="1">
      <alignment horizontal="right"/>
    </xf>
    <xf numFmtId="43" fontId="5" fillId="0" borderId="0" xfId="0" applyNumberFormat="1" applyFont="1"/>
    <xf numFmtId="43" fontId="0" fillId="0" borderId="0" xfId="0" applyNumberFormat="1" applyFont="1" applyAlignment="1"/>
    <xf numFmtId="0" fontId="1" fillId="0" borderId="0" xfId="0" applyFont="1"/>
    <xf numFmtId="0" fontId="16" fillId="0" borderId="0" xfId="1" applyAlignment="1"/>
    <xf numFmtId="0" fontId="4" fillId="0" borderId="0" xfId="0" applyFont="1" applyFill="1"/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INAL_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530">
  <tableColumns count="3">
    <tableColumn id="1" xr3:uid="{00000000-0010-0000-0000-000001000000}" name="Producto "/>
    <tableColumn id="2" xr3:uid="{00000000-0010-0000-0000-000002000000}" name="Precio_kg"/>
    <tableColumn id="3" xr3:uid="{00000000-0010-0000-0000-000003000000}" name="Fuente de consulta "/>
  </tableColumns>
  <tableStyleInfo name="FINAL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ipa.agricultura.gob.ec/index.php/boletin-nacional-precios-mayoristas/2022-mayoristas" TargetMode="External"/><Relationship Id="rId18" Type="http://schemas.openxmlformats.org/officeDocument/2006/relationships/hyperlink" Target="https://ecuadorverifica.org/2022/05/04/la-leche-sube-de-precio/?utm_source" TargetMode="External"/><Relationship Id="rId26" Type="http://schemas.openxmlformats.org/officeDocument/2006/relationships/hyperlink" Target="https://listado.mercadolibre.com.ec/semilla-de-pasto-elefante?utm_source=chatgpt.com" TargetMode="External"/><Relationship Id="rId39" Type="http://schemas.openxmlformats.org/officeDocument/2006/relationships/hyperlink" Target="https://www.lacobacha.com.ec/producto/vicia-semilla-forrajera-pastos-avena-bolsa-de-10-libras/" TargetMode="External"/><Relationship Id="rId21" Type="http://schemas.openxmlformats.org/officeDocument/2006/relationships/hyperlink" Target="https://www.jirehgourmet.com/product-page/macadamia-macadamia?srsltid=AfmBOooDNdZ19f7McvYEOrdY8Kou0HkW8o_syJh80XMzl3gieUT6OW_C" TargetMode="External"/><Relationship Id="rId34" Type="http://schemas.openxmlformats.org/officeDocument/2006/relationships/hyperlink" Target="https://www.supermercadosantamaria.com/detalle/-/Producto/sabila-kg/31800?srsltid=AfmBOop6s7FHqrUdBy_S_0rnpB0RMHyQJoAaQ5ClJrMZtTjVg4EiQ9Gc" TargetMode="External"/><Relationship Id="rId42" Type="http://schemas.openxmlformats.org/officeDocument/2006/relationships/hyperlink" Target="https://sipa.agricultura.gob.ec/" TargetMode="External"/><Relationship Id="rId7" Type="http://schemas.openxmlformats.org/officeDocument/2006/relationships/hyperlink" Target="https://www.plantas.ec/product/caimitom/" TargetMode="External"/><Relationship Id="rId2" Type="http://schemas.openxmlformats.org/officeDocument/2006/relationships/hyperlink" Target="https://www.mercadolibre.com.ec/arandanos-1kg/up/MECU2433844981" TargetMode="External"/><Relationship Id="rId16" Type="http://schemas.openxmlformats.org/officeDocument/2006/relationships/hyperlink" Target="https://www.facebook.com/groups/clubagricultoresyganaderosecuador/posts/3083468948561363/" TargetMode="External"/><Relationship Id="rId20" Type="http://schemas.openxmlformats.org/officeDocument/2006/relationships/hyperlink" Target="https://www.alimentosmadretierra.com/producto/limas/" TargetMode="External"/><Relationship Id="rId29" Type="http://schemas.openxmlformats.org/officeDocument/2006/relationships/hyperlink" Target="https://www.facebook.com/groups/clubagricultoresyganaderosecuador/posts/venta-de-semilla-vegetativa-de-pasto-tift%C3%B3n-85precio-4-el-kgdirecci%C3%B3n-caluma-bol/2382205705354361/" TargetMode="External"/><Relationship Id="rId41" Type="http://schemas.openxmlformats.org/officeDocument/2006/relationships/hyperlink" Target="https://sipa.agricultura.gob.ec/" TargetMode="External"/><Relationship Id="rId1" Type="http://schemas.openxmlformats.org/officeDocument/2006/relationships/hyperlink" Target="https://www.mercadolibre.com.ec/arandanos-1kg/up/MECU2433844981" TargetMode="External"/><Relationship Id="rId6" Type="http://schemas.openxmlformats.org/officeDocument/2006/relationships/hyperlink" Target="https://www.selinawamucii.com/es/perspectivas/precios/ecuador/carne-de-caballo/" TargetMode="External"/><Relationship Id="rId11" Type="http://schemas.openxmlformats.org/officeDocument/2006/relationships/hyperlink" Target="https://www.selinawamucii.com/es/perspectivas/precios/ecuador/higos/?utm_source=chatgpt.com" TargetMode="External"/><Relationship Id="rId24" Type="http://schemas.openxmlformats.org/officeDocument/2006/relationships/hyperlink" Target="https://www.facebook.com/groups/278570196757756/posts/1011086883506080/" TargetMode="External"/><Relationship Id="rId32" Type="http://schemas.openxmlformats.org/officeDocument/2006/relationships/hyperlink" Target="https://www.aki.com.ec/producto/pera-importada-la-original-099-ctvs/" TargetMode="External"/><Relationship Id="rId37" Type="http://schemas.openxmlformats.org/officeDocument/2006/relationships/hyperlink" Target="https://www.lacobacha.com.ec/producto/tamarindo-0-45-kg/" TargetMode="External"/><Relationship Id="rId40" Type="http://schemas.openxmlformats.org/officeDocument/2006/relationships/hyperlink" Target="https://es.scribd.com/document/437787698/51970386-Costos-de-Un-Vivero-Forestal" TargetMode="External"/><Relationship Id="rId5" Type="http://schemas.openxmlformats.org/officeDocument/2006/relationships/hyperlink" Target="https://agrizon.com/products/brachiaria-decumbes-1-kg" TargetMode="External"/><Relationship Id="rId15" Type="http://schemas.openxmlformats.org/officeDocument/2006/relationships/hyperlink" Target="https://maizysoya.com/lector.php?id=20170312&amp;utm" TargetMode="External"/><Relationship Id="rId23" Type="http://schemas.openxmlformats.org/officeDocument/2006/relationships/hyperlink" Target="https://coralhipermercados.com/mamey-kilo-2143.html" TargetMode="External"/><Relationship Id="rId28" Type="http://schemas.openxmlformats.org/officeDocument/2006/relationships/hyperlink" Target="https://www.imporalaska.com/panicum" TargetMode="External"/><Relationship Id="rId36" Type="http://schemas.openxmlformats.org/officeDocument/2006/relationships/hyperlink" Target="https://www.facebook.com/groups/clubagricultoresyganaderosecuador/posts/2228526070722326/?utm_source=chatgpt.com" TargetMode="External"/><Relationship Id="rId10" Type="http://schemas.openxmlformats.org/officeDocument/2006/relationships/hyperlink" Target="https://www.selinawamucii.com/es/perspectivas/precios/ecuador/datiles/?utm_source=chatgpt.com" TargetMode="External"/><Relationship Id="rId19" Type="http://schemas.openxmlformats.org/officeDocument/2006/relationships/hyperlink" Target="https://www.elcomercio.com/actualidad/negocios/ley-precio-minimo-litro-leche-cruda.html" TargetMode="External"/><Relationship Id="rId31" Type="http://schemas.openxmlformats.org/officeDocument/2006/relationships/hyperlink" Target="https://www.primicias.ec/economia/precios-pavos-pollos-cerdo-pavipollos-ventas-navidad-84725/" TargetMode="External"/><Relationship Id="rId44" Type="http://schemas.openxmlformats.org/officeDocument/2006/relationships/hyperlink" Target="https://mercadomayorista.quito.gob.ec/" TargetMode="External"/><Relationship Id="rId4" Type="http://schemas.openxmlformats.org/officeDocument/2006/relationships/hyperlink" Target="https://www.eltelegrafo.com.ec/noticias/economia/1/diez-productos-del-avestruz-buscan-mercado?utm_source=chatgpt.com" TargetMode="External"/><Relationship Id="rId9" Type="http://schemas.openxmlformats.org/officeDocument/2006/relationships/hyperlink" Target="https://organicos.mamey.org/producto/cerezas-250-gr-no-organicas/?srsltid=AfmBOop_FxXiRBCHH5oh1WN2wUtqMFqRogXOVv3qK6Sm6eKgDaY5Uklb" TargetMode="External"/><Relationship Id="rId14" Type="http://schemas.openxmlformats.org/officeDocument/2006/relationships/hyperlink" Target="https://maizysoya.com/lector.php?id=20170312&amp;utm" TargetMode="External"/><Relationship Id="rId22" Type="http://schemas.openxmlformats.org/officeDocument/2006/relationships/hyperlink" Target="https://www.lacobacha.com.ec/producto/maiz-forrajero-bolsa-4-5-kg/" TargetMode="External"/><Relationship Id="rId27" Type="http://schemas.openxmlformats.org/officeDocument/2006/relationships/hyperlink" Target="https://www.imporalaska.com/pastos-azules" TargetMode="External"/><Relationship Id="rId30" Type="http://schemas.openxmlformats.org/officeDocument/2006/relationships/hyperlink" Target="https://www.supermaxi.com/producto/pato-entero-patottis-al-peso/" TargetMode="External"/><Relationship Id="rId35" Type="http://schemas.openxmlformats.org/officeDocument/2006/relationships/hyperlink" Target="https://listado.mercadolibre.com.ec/saboya" TargetMode="External"/><Relationship Id="rId43" Type="http://schemas.openxmlformats.org/officeDocument/2006/relationships/hyperlink" Target="https://www.supermaxi.com/" TargetMode="External"/><Relationship Id="rId8" Type="http://schemas.openxmlformats.org/officeDocument/2006/relationships/hyperlink" Target="https://www.ecocaucho.com.ec/producto/caucho-para-cesped/" TargetMode="External"/><Relationship Id="rId3" Type="http://schemas.openxmlformats.org/officeDocument/2006/relationships/hyperlink" Target="https://www.lacobacha.com.ec/producto/avena-semilla-forrajera-pastos-vicia-potrero-abono-verde-bol/" TargetMode="External"/><Relationship Id="rId12" Type="http://schemas.openxmlformats.org/officeDocument/2006/relationships/hyperlink" Target="https://ianser.ec/pulpas-de-frutas/1828-pulpa-de-fruta-maracuya-1-kilo.html" TargetMode="External"/><Relationship Id="rId17" Type="http://schemas.openxmlformats.org/officeDocument/2006/relationships/hyperlink" Target="https://marcatv.ec/noticias/2086-ley-establece-nuevo-precio-minimo-del-litro-de-leche-cruda?utm_source" TargetMode="External"/><Relationship Id="rId25" Type="http://schemas.openxmlformats.org/officeDocument/2006/relationships/hyperlink" Target="https://www.supermaxi.com/producto/membrillo-en-crema-helios-170-g/" TargetMode="External"/><Relationship Id="rId33" Type="http://schemas.openxmlformats.org/officeDocument/2006/relationships/hyperlink" Target="https://organicos.mamey.org/producto/romanesca/" TargetMode="External"/><Relationship Id="rId38" Type="http://schemas.openxmlformats.org/officeDocument/2006/relationships/hyperlink" Target="https://mercadomayorista.quito.gob.ec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irehgourmet.com/product-page/macadamia-macadamia?srsltid=AfmBOooDNdZ19f7McvYEOrdY8Kou0HkW8o_syJh80XMzl3gieUT6OW_C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alimentosmadretierra.com/producto/limas/" TargetMode="External"/><Relationship Id="rId1" Type="http://schemas.openxmlformats.org/officeDocument/2006/relationships/hyperlink" Target="https://bolsadeproductos.com.ec/listing/alcachofa-organica/" TargetMode="External"/><Relationship Id="rId6" Type="http://schemas.openxmlformats.org/officeDocument/2006/relationships/hyperlink" Target="https://coralhipermercados.com/mamey-kilo-2143.html" TargetMode="External"/><Relationship Id="rId5" Type="http://schemas.openxmlformats.org/officeDocument/2006/relationships/hyperlink" Target="https://coralhipermercados.com/mamey-kilo-2143.html" TargetMode="External"/><Relationship Id="rId4" Type="http://schemas.openxmlformats.org/officeDocument/2006/relationships/hyperlink" Target="https://www.lacobacha.com.ec/producto/maiz-forrajero-bolsa-4-5-k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OYB1rFLs7EAITUYThvTXqoGQQ2DGrALi/view?usp=sharing" TargetMode="External"/><Relationship Id="rId2" Type="http://schemas.openxmlformats.org/officeDocument/2006/relationships/hyperlink" Target="https://drive.google.com/file/d/1OYB1rFLs7EAITUYThvTXqoGQQ2DGrALi/view?usp=sharing" TargetMode="External"/><Relationship Id="rId1" Type="http://schemas.openxmlformats.org/officeDocument/2006/relationships/hyperlink" Target="https://bolsadeproductos.com.ec/listing/alfalfa-organica/" TargetMode="External"/><Relationship Id="rId6" Type="http://schemas.openxmlformats.org/officeDocument/2006/relationships/hyperlink" Target="https://docs.google.com/spreadsheets/d/1Q2VE1c3JIoWZHADBfdU2WSZHMc9jSDUo/edit?usp=sharing&amp;ouid=116286942826525926343&amp;rtpof=true&amp;sd=true" TargetMode="External"/><Relationship Id="rId5" Type="http://schemas.openxmlformats.org/officeDocument/2006/relationships/hyperlink" Target="https://docs.google.com/spreadsheets/d/1Q2VE1c3JIoWZHADBfdU2WSZHMc9jSDUo/edit?usp=sharing&amp;ouid=116286942826525926343&amp;rtpof=true&amp;sd=true" TargetMode="External"/><Relationship Id="rId4" Type="http://schemas.openxmlformats.org/officeDocument/2006/relationships/hyperlink" Target="https://cronica.com.ec/2024/03/11/nispero-fruta-desconocida-diuretica-y-depurativ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topLeftCell="A427" workbookViewId="0">
      <selection activeCell="B446" sqref="B446"/>
    </sheetView>
  </sheetViews>
  <sheetFormatPr baseColWidth="10" defaultColWidth="14.44140625" defaultRowHeight="15" customHeight="1"/>
  <cols>
    <col min="1" max="1" width="69.88671875" customWidth="1"/>
    <col min="2" max="2" width="19.88671875" style="33" customWidth="1"/>
    <col min="3" max="3" width="36.109375" customWidth="1"/>
    <col min="4" max="24" width="10.6640625" customWidth="1"/>
  </cols>
  <sheetData>
    <row r="1" spans="1:11" ht="14.4">
      <c r="A1" s="1" t="s">
        <v>0</v>
      </c>
      <c r="B1" s="30" t="s">
        <v>1</v>
      </c>
      <c r="C1" s="30" t="s">
        <v>653</v>
      </c>
    </row>
    <row r="2" spans="1:11" ht="14.4">
      <c r="A2" s="34">
        <v>490</v>
      </c>
      <c r="B2" s="31">
        <v>10.5</v>
      </c>
      <c r="C2" t="s">
        <v>652</v>
      </c>
    </row>
    <row r="3" spans="1:11" ht="14.4">
      <c r="A3" s="34" t="s">
        <v>603</v>
      </c>
      <c r="B3" s="31">
        <v>5.9</v>
      </c>
    </row>
    <row r="4" spans="1:11" ht="14.4">
      <c r="A4" s="2" t="s">
        <v>2</v>
      </c>
      <c r="B4" s="31">
        <v>5.9</v>
      </c>
      <c r="K4" s="3"/>
    </row>
    <row r="5" spans="1:11" ht="14.4">
      <c r="A5" s="2" t="s">
        <v>3</v>
      </c>
      <c r="B5" s="31">
        <v>1.2970602103733231</v>
      </c>
    </row>
    <row r="6" spans="1:11" ht="14.4">
      <c r="A6" s="2" t="s">
        <v>4</v>
      </c>
      <c r="B6" s="31">
        <v>1.2873185714285711</v>
      </c>
    </row>
    <row r="7" spans="1:11" ht="14.4">
      <c r="A7" s="2" t="s">
        <v>5</v>
      </c>
      <c r="B7" s="31">
        <v>1.6205052083333329</v>
      </c>
    </row>
    <row r="8" spans="1:11" ht="14.4">
      <c r="A8" s="2" t="s">
        <v>6</v>
      </c>
      <c r="B8" s="31">
        <v>2.8637436022027858</v>
      </c>
    </row>
    <row r="9" spans="1:11" ht="14.4">
      <c r="A9" s="2" t="s">
        <v>7</v>
      </c>
      <c r="B9" s="31">
        <v>3.1220565521694552</v>
      </c>
    </row>
    <row r="10" spans="1:11" ht="14.4">
      <c r="A10" s="2" t="s">
        <v>8</v>
      </c>
      <c r="B10" s="31">
        <v>4.4376505172459124</v>
      </c>
    </row>
    <row r="11" spans="1:11" ht="14.4">
      <c r="A11" s="2" t="s">
        <v>9</v>
      </c>
      <c r="B11" s="31">
        <v>0.27557749999999998</v>
      </c>
    </row>
    <row r="12" spans="1:11" ht="14.4">
      <c r="A12" s="2" t="s">
        <v>10</v>
      </c>
      <c r="B12" s="31">
        <v>6.24</v>
      </c>
    </row>
    <row r="13" spans="1:11" ht="14.4">
      <c r="A13" s="2" t="s">
        <v>11</v>
      </c>
      <c r="B13" s="31">
        <v>0.71507150715071499</v>
      </c>
    </row>
    <row r="14" spans="1:11" ht="14.4">
      <c r="A14" s="2" t="s">
        <v>12</v>
      </c>
      <c r="B14" s="31">
        <v>6.24</v>
      </c>
    </row>
    <row r="15" spans="1:11" ht="14.4">
      <c r="A15" s="2" t="s">
        <v>13</v>
      </c>
      <c r="B15" s="31">
        <v>0.66006600660066006</v>
      </c>
    </row>
    <row r="16" spans="1:11" ht="14.4">
      <c r="A16" s="2" t="s">
        <v>14</v>
      </c>
      <c r="B16" s="31">
        <v>1.4924977368310699</v>
      </c>
    </row>
    <row r="17" spans="1:3" ht="14.4">
      <c r="A17" s="2" t="s">
        <v>15</v>
      </c>
      <c r="B17" s="31">
        <v>0.9</v>
      </c>
    </row>
    <row r="18" spans="1:3" ht="14.4">
      <c r="A18" s="2" t="s">
        <v>16</v>
      </c>
      <c r="B18" s="31">
        <v>0.60506050605060502</v>
      </c>
    </row>
    <row r="19" spans="1:3" ht="14.4">
      <c r="A19" s="2" t="s">
        <v>17</v>
      </c>
      <c r="B19" s="31">
        <v>1.841888986729193</v>
      </c>
    </row>
    <row r="20" spans="1:3" ht="14.4">
      <c r="A20" s="2" t="s">
        <v>18</v>
      </c>
      <c r="B20" s="31">
        <v>0.99009900990099009</v>
      </c>
    </row>
    <row r="21" spans="1:3" ht="14.4">
      <c r="A21" s="2" t="s">
        <v>19</v>
      </c>
      <c r="B21" s="31">
        <v>3</v>
      </c>
    </row>
    <row r="22" spans="1:3" ht="14.4">
      <c r="A22" s="2" t="s">
        <v>20</v>
      </c>
      <c r="B22" s="31">
        <v>2.5</v>
      </c>
    </row>
    <row r="23" spans="1:3" ht="15.75" customHeight="1">
      <c r="A23" s="2" t="s">
        <v>21</v>
      </c>
      <c r="B23" s="31">
        <v>0.66006600660066006</v>
      </c>
    </row>
    <row r="24" spans="1:3" ht="15.75" customHeight="1">
      <c r="A24" s="2" t="s">
        <v>22</v>
      </c>
      <c r="B24" s="31">
        <v>3.3069299999999995</v>
      </c>
    </row>
    <row r="25" spans="1:3" ht="15.75" customHeight="1">
      <c r="A25" s="2" t="s">
        <v>23</v>
      </c>
      <c r="B25" s="31">
        <v>6.24</v>
      </c>
    </row>
    <row r="26" spans="1:3" ht="15.75" customHeight="1">
      <c r="A26" s="2" t="s">
        <v>24</v>
      </c>
      <c r="B26" s="31">
        <v>6.24</v>
      </c>
    </row>
    <row r="27" spans="1:3" ht="15.75" customHeight="1">
      <c r="A27" s="2" t="s">
        <v>25</v>
      </c>
      <c r="B27" s="31">
        <v>6</v>
      </c>
    </row>
    <row r="28" spans="1:3" ht="15.75" customHeight="1">
      <c r="A28" s="2" t="s">
        <v>26</v>
      </c>
      <c r="B28" s="31">
        <v>10.5</v>
      </c>
      <c r="C28" s="35" t="s">
        <v>27</v>
      </c>
    </row>
    <row r="29" spans="1:3" ht="15.75" customHeight="1">
      <c r="A29" s="2" t="s">
        <v>28</v>
      </c>
      <c r="B29" s="31">
        <v>10.5</v>
      </c>
      <c r="C29" s="5" t="s">
        <v>27</v>
      </c>
    </row>
    <row r="30" spans="1:3" ht="15.75" customHeight="1">
      <c r="A30" s="2" t="s">
        <v>29</v>
      </c>
      <c r="B30" s="31">
        <v>0.16</v>
      </c>
    </row>
    <row r="31" spans="1:3" ht="15.75" customHeight="1">
      <c r="A31" s="6" t="s">
        <v>30</v>
      </c>
      <c r="B31" s="31"/>
    </row>
    <row r="32" spans="1:3" ht="15.75" customHeight="1">
      <c r="A32" s="2" t="s">
        <v>31</v>
      </c>
      <c r="B32" s="31">
        <v>0.47166666666666668</v>
      </c>
    </row>
    <row r="33" spans="1:2" ht="15.75" customHeight="1">
      <c r="A33" s="2" t="s">
        <v>32</v>
      </c>
      <c r="B33" s="31">
        <v>0.35</v>
      </c>
    </row>
    <row r="34" spans="1:2" ht="15.75" customHeight="1">
      <c r="A34" s="2" t="s">
        <v>33</v>
      </c>
      <c r="B34" s="31">
        <v>0.528052805280528</v>
      </c>
    </row>
    <row r="35" spans="1:2" ht="15.75" customHeight="1">
      <c r="A35" s="2" t="s">
        <v>34</v>
      </c>
      <c r="B35" s="31">
        <v>0.43223398629150889</v>
      </c>
    </row>
    <row r="36" spans="1:2" ht="15.75" customHeight="1">
      <c r="A36" s="2" t="s">
        <v>35</v>
      </c>
      <c r="B36" s="31">
        <v>0.60506050605060502</v>
      </c>
    </row>
    <row r="37" spans="1:2" ht="15.75" customHeight="1">
      <c r="A37" s="2" t="s">
        <v>36</v>
      </c>
      <c r="B37" s="31">
        <v>0.33684105565109279</v>
      </c>
    </row>
    <row r="38" spans="1:2" ht="15.75" customHeight="1">
      <c r="A38" s="2" t="s">
        <v>37</v>
      </c>
      <c r="B38" s="31">
        <v>0.32007828166642749</v>
      </c>
    </row>
    <row r="39" spans="1:2" ht="15.75" customHeight="1">
      <c r="A39" s="2" t="s">
        <v>38</v>
      </c>
      <c r="B39" s="31">
        <v>0.35106778454418519</v>
      </c>
    </row>
    <row r="40" spans="1:2" ht="15.75" customHeight="1">
      <c r="A40" s="2" t="s">
        <v>39</v>
      </c>
      <c r="B40" s="31">
        <v>0.73170579805996461</v>
      </c>
    </row>
    <row r="41" spans="1:2" ht="15.75" customHeight="1">
      <c r="A41" s="2" t="s">
        <v>40</v>
      </c>
      <c r="B41" s="31">
        <v>0.81487968117408904</v>
      </c>
    </row>
    <row r="42" spans="1:2" ht="15.75" customHeight="1">
      <c r="A42" s="2" t="s">
        <v>41</v>
      </c>
      <c r="B42" s="31">
        <v>0.92332775919732446</v>
      </c>
    </row>
    <row r="43" spans="1:2" ht="15.75" customHeight="1">
      <c r="A43" s="2" t="s">
        <v>42</v>
      </c>
      <c r="B43" s="31">
        <v>0.64822306277942299</v>
      </c>
    </row>
    <row r="44" spans="1:2" ht="15.75" customHeight="1">
      <c r="A44" s="2" t="s">
        <v>43</v>
      </c>
      <c r="B44" s="31">
        <v>0.73878150924946595</v>
      </c>
    </row>
    <row r="45" spans="1:2" ht="15.75" customHeight="1">
      <c r="A45" s="2" t="s">
        <v>44</v>
      </c>
      <c r="B45" s="31"/>
    </row>
    <row r="46" spans="1:2" ht="15.75" customHeight="1">
      <c r="A46" s="2" t="s">
        <v>45</v>
      </c>
      <c r="B46" s="31">
        <v>1.104866903849663</v>
      </c>
    </row>
    <row r="47" spans="1:2" ht="15.75" customHeight="1">
      <c r="A47" s="2" t="s">
        <v>46</v>
      </c>
      <c r="B47" s="31">
        <v>1.1000000000000001</v>
      </c>
    </row>
    <row r="48" spans="1:2" ht="15.75" customHeight="1">
      <c r="A48" s="2" t="s">
        <v>47</v>
      </c>
      <c r="B48" s="31">
        <v>1.3227513227513228</v>
      </c>
    </row>
    <row r="49" spans="1:3" ht="15.75" customHeight="1">
      <c r="A49" s="2" t="s">
        <v>48</v>
      </c>
      <c r="B49" s="31">
        <v>0.96275755399999996</v>
      </c>
    </row>
    <row r="50" spans="1:3" ht="15.75" customHeight="1">
      <c r="A50" s="2" t="s">
        <v>49</v>
      </c>
      <c r="B50" s="31">
        <v>0.49504950495049505</v>
      </c>
    </row>
    <row r="51" spans="1:3" ht="15.75" customHeight="1">
      <c r="A51" s="2" t="s">
        <v>50</v>
      </c>
      <c r="B51" s="31">
        <v>0.66138599999999992</v>
      </c>
    </row>
    <row r="52" spans="1:3" ht="15.75" customHeight="1">
      <c r="A52" s="2" t="s">
        <v>51</v>
      </c>
      <c r="B52" s="31">
        <v>0.60506050605060502</v>
      </c>
    </row>
    <row r="53" spans="1:3" ht="15.75" customHeight="1">
      <c r="A53" s="2" t="s">
        <v>52</v>
      </c>
      <c r="B53" s="31">
        <v>1.3227513227513228</v>
      </c>
    </row>
    <row r="54" spans="1:3" ht="15.75" customHeight="1">
      <c r="A54" s="2" t="s">
        <v>53</v>
      </c>
      <c r="B54" s="31">
        <v>0.86956985413059174</v>
      </c>
    </row>
    <row r="55" spans="1:3" ht="15.75" customHeight="1">
      <c r="A55" s="2" t="s">
        <v>54</v>
      </c>
      <c r="B55" s="31">
        <v>1.156038700829086</v>
      </c>
    </row>
    <row r="56" spans="1:3" ht="15.75" customHeight="1">
      <c r="A56" s="36" t="s">
        <v>55</v>
      </c>
      <c r="B56" s="31">
        <v>1.1100000000000001</v>
      </c>
    </row>
    <row r="57" spans="1:3" ht="15.75" customHeight="1">
      <c r="A57" s="2" t="s">
        <v>56</v>
      </c>
      <c r="B57" s="31">
        <v>4.4400000000000004</v>
      </c>
    </row>
    <row r="58" spans="1:3" ht="15.75" customHeight="1">
      <c r="A58" s="2" t="s">
        <v>57</v>
      </c>
      <c r="B58" s="31">
        <v>4.75</v>
      </c>
    </row>
    <row r="59" spans="1:3" ht="15.75" customHeight="1">
      <c r="A59" s="2" t="s">
        <v>58</v>
      </c>
      <c r="B59" s="31">
        <v>1.1022927689594357</v>
      </c>
    </row>
    <row r="60" spans="1:3" ht="15.75" customHeight="1">
      <c r="A60" s="2" t="s">
        <v>59</v>
      </c>
      <c r="B60" s="31">
        <v>1.0582175999999999</v>
      </c>
    </row>
    <row r="61" spans="1:3" ht="15.75" customHeight="1">
      <c r="A61" s="2" t="s">
        <v>60</v>
      </c>
      <c r="B61" s="31">
        <v>1.22</v>
      </c>
      <c r="C61" s="5" t="s">
        <v>61</v>
      </c>
    </row>
    <row r="62" spans="1:3" ht="15.75" customHeight="1">
      <c r="A62" s="2" t="s">
        <v>62</v>
      </c>
      <c r="B62" s="31">
        <v>0.98064044602351053</v>
      </c>
    </row>
    <row r="63" spans="1:3" ht="15.75" customHeight="1">
      <c r="A63" s="2" t="s">
        <v>63</v>
      </c>
      <c r="B63" s="31">
        <v>16</v>
      </c>
      <c r="C63" s="5" t="s">
        <v>64</v>
      </c>
    </row>
    <row r="64" spans="1:3" ht="15.75" customHeight="1">
      <c r="A64" s="2" t="s">
        <v>65</v>
      </c>
      <c r="B64" s="31">
        <v>0.41480133683393272</v>
      </c>
    </row>
    <row r="65" spans="1:3" ht="15.75" customHeight="1">
      <c r="A65" s="2" t="s">
        <v>66</v>
      </c>
      <c r="B65" s="31">
        <v>0.53776509944162121</v>
      </c>
    </row>
    <row r="66" spans="1:3" ht="15.75" customHeight="1">
      <c r="A66" s="2" t="s">
        <v>67</v>
      </c>
      <c r="B66" s="31">
        <v>0.70037027817241393</v>
      </c>
    </row>
    <row r="67" spans="1:3" ht="15.75" customHeight="1">
      <c r="A67" s="2" t="s">
        <v>68</v>
      </c>
      <c r="B67" s="31">
        <v>0.56162968512968514</v>
      </c>
    </row>
    <row r="68" spans="1:3" ht="15.75" customHeight="1">
      <c r="A68" s="2" t="s">
        <v>69</v>
      </c>
      <c r="B68" s="31">
        <v>0.47</v>
      </c>
    </row>
    <row r="69" spans="1:3" ht="15.75" customHeight="1">
      <c r="A69" s="2" t="s">
        <v>70</v>
      </c>
      <c r="B69" s="31">
        <v>0.89</v>
      </c>
    </row>
    <row r="70" spans="1:3" ht="15.75" customHeight="1">
      <c r="A70" s="2" t="s">
        <v>71</v>
      </c>
      <c r="B70" s="31">
        <v>0.4</v>
      </c>
    </row>
    <row r="71" spans="1:3" ht="15.75" customHeight="1">
      <c r="A71" s="2" t="s">
        <v>72</v>
      </c>
      <c r="B71" s="31">
        <v>0.93414497737946489</v>
      </c>
    </row>
    <row r="72" spans="1:3" ht="15.75" customHeight="1">
      <c r="A72" s="2" t="s">
        <v>73</v>
      </c>
      <c r="B72" s="31">
        <v>0.22182432195464111</v>
      </c>
    </row>
    <row r="73" spans="1:3" ht="15.75" customHeight="1">
      <c r="A73" s="2" t="s">
        <v>74</v>
      </c>
      <c r="B73" s="31">
        <v>0.32006448202959831</v>
      </c>
    </row>
    <row r="74" spans="1:3" ht="15.75" customHeight="1">
      <c r="A74" s="2" t="s">
        <v>75</v>
      </c>
      <c r="B74" s="31">
        <v>1.6046002309586971</v>
      </c>
    </row>
    <row r="75" spans="1:3" ht="15.75" customHeight="1">
      <c r="A75" s="2" t="s">
        <v>76</v>
      </c>
      <c r="B75" s="31">
        <v>1.107674386261013</v>
      </c>
    </row>
    <row r="76" spans="1:3" ht="15.75" customHeight="1">
      <c r="A76" s="2" t="s">
        <v>77</v>
      </c>
      <c r="B76" s="31">
        <v>0.33124999999999999</v>
      </c>
    </row>
    <row r="77" spans="1:3" ht="15.75" customHeight="1">
      <c r="A77" s="2" t="s">
        <v>78</v>
      </c>
      <c r="B77" s="31">
        <v>0.33124999999999999</v>
      </c>
    </row>
    <row r="78" spans="1:3" ht="15.75" customHeight="1">
      <c r="A78" s="2" t="s">
        <v>79</v>
      </c>
      <c r="B78" s="31">
        <v>0.33124999999999999</v>
      </c>
    </row>
    <row r="79" spans="1:3" ht="15.75" customHeight="1">
      <c r="A79" s="2" t="s">
        <v>80</v>
      </c>
      <c r="B79" s="31">
        <v>0.1</v>
      </c>
      <c r="C79" s="4" t="s">
        <v>81</v>
      </c>
    </row>
    <row r="80" spans="1:3" ht="15.75" customHeight="1">
      <c r="A80" s="2" t="s">
        <v>82</v>
      </c>
      <c r="B80" s="31">
        <v>4.5</v>
      </c>
    </row>
    <row r="81" spans="1:3" ht="15.75" customHeight="1">
      <c r="A81" s="2" t="s">
        <v>83</v>
      </c>
      <c r="B81" s="31">
        <v>4</v>
      </c>
    </row>
    <row r="82" spans="1:3" ht="15.75" customHeight="1">
      <c r="A82" s="2" t="s">
        <v>84</v>
      </c>
      <c r="B82" s="31">
        <v>3.3631759259259262</v>
      </c>
      <c r="C82" s="4" t="s">
        <v>85</v>
      </c>
    </row>
    <row r="83" spans="1:3" ht="15.75" customHeight="1">
      <c r="A83" s="2" t="s">
        <v>86</v>
      </c>
      <c r="B83" s="31">
        <v>1.788583333333333</v>
      </c>
    </row>
    <row r="84" spans="1:3" ht="15.75" customHeight="1">
      <c r="A84" s="2" t="s">
        <v>87</v>
      </c>
      <c r="B84" s="31">
        <v>1.778966666666667</v>
      </c>
    </row>
    <row r="85" spans="1:3" ht="15.75" customHeight="1">
      <c r="A85" s="2" t="s">
        <v>88</v>
      </c>
      <c r="B85" s="31">
        <v>1.452233333333333</v>
      </c>
    </row>
    <row r="86" spans="1:3" ht="15.75" customHeight="1">
      <c r="A86" s="2" t="s">
        <v>89</v>
      </c>
      <c r="B86" s="31">
        <v>1.5459333333333329</v>
      </c>
    </row>
    <row r="87" spans="1:3" ht="15.75" customHeight="1">
      <c r="A87" s="2" t="s">
        <v>90</v>
      </c>
      <c r="B87" s="31">
        <v>2.5</v>
      </c>
      <c r="C87" s="5" t="s">
        <v>91</v>
      </c>
    </row>
    <row r="88" spans="1:3" ht="15.75" customHeight="1">
      <c r="A88" s="2" t="s">
        <v>92</v>
      </c>
      <c r="B88" s="31">
        <v>0.66500000000000004</v>
      </c>
    </row>
    <row r="89" spans="1:3" ht="15.75" customHeight="1">
      <c r="A89" s="2" t="s">
        <v>93</v>
      </c>
      <c r="B89" s="31">
        <v>1.1991293788513386</v>
      </c>
    </row>
    <row r="90" spans="1:3" ht="15.75" customHeight="1">
      <c r="A90" s="2" t="s">
        <v>94</v>
      </c>
      <c r="B90" s="31">
        <v>4.41</v>
      </c>
      <c r="C90" s="5" t="s">
        <v>95</v>
      </c>
    </row>
    <row r="91" spans="1:3" ht="15.75" customHeight="1">
      <c r="A91" s="2" t="s">
        <v>96</v>
      </c>
      <c r="B91" s="31">
        <v>0.77007700770077003</v>
      </c>
    </row>
    <row r="92" spans="1:3" ht="15.75" customHeight="1">
      <c r="A92" s="2" t="s">
        <v>97</v>
      </c>
      <c r="B92" s="31">
        <v>2.373918926467053</v>
      </c>
    </row>
    <row r="93" spans="1:3" ht="15.75" customHeight="1">
      <c r="A93" s="2" t="s">
        <v>98</v>
      </c>
      <c r="B93" s="31">
        <v>1.6146636879999998</v>
      </c>
    </row>
    <row r="94" spans="1:3" ht="15.75" customHeight="1">
      <c r="A94" s="2" t="s">
        <v>99</v>
      </c>
      <c r="B94" s="31">
        <v>1.8548736727086961</v>
      </c>
    </row>
    <row r="95" spans="1:3" ht="15.75" customHeight="1">
      <c r="A95" s="2" t="s">
        <v>100</v>
      </c>
      <c r="B95" s="31">
        <v>1.9739</v>
      </c>
    </row>
    <row r="96" spans="1:3" ht="15.75" customHeight="1">
      <c r="A96" s="2" t="s">
        <v>101</v>
      </c>
      <c r="B96" s="31">
        <v>2.0661999999999998</v>
      </c>
    </row>
    <row r="97" spans="1:2" ht="15.75" customHeight="1">
      <c r="A97" s="2" t="s">
        <v>102</v>
      </c>
      <c r="B97" s="31">
        <v>1.5432370941286444</v>
      </c>
    </row>
    <row r="98" spans="1:2" ht="15.75" customHeight="1">
      <c r="A98" s="2" t="s">
        <v>103</v>
      </c>
      <c r="B98" s="31">
        <v>2.0699999999999998</v>
      </c>
    </row>
    <row r="99" spans="1:2" ht="15.75" customHeight="1">
      <c r="A99" s="2" t="s">
        <v>104</v>
      </c>
      <c r="B99" s="31">
        <v>0.70840000000000003</v>
      </c>
    </row>
    <row r="100" spans="1:2" ht="15.75" customHeight="1">
      <c r="A100" s="2" t="s">
        <v>105</v>
      </c>
      <c r="B100" s="31">
        <v>2.0981000000000001</v>
      </c>
    </row>
    <row r="101" spans="1:2" ht="15.75" customHeight="1">
      <c r="A101" s="2" t="s">
        <v>106</v>
      </c>
      <c r="B101" s="31">
        <v>1.90444605891674</v>
      </c>
    </row>
    <row r="102" spans="1:2" ht="15.75" customHeight="1">
      <c r="A102" s="2" t="s">
        <v>107</v>
      </c>
      <c r="B102" s="31">
        <v>3.5825146827986383</v>
      </c>
    </row>
    <row r="103" spans="1:2" ht="15.75" customHeight="1">
      <c r="A103" s="2" t="s">
        <v>108</v>
      </c>
      <c r="B103" s="31">
        <v>4.1887863983491771</v>
      </c>
    </row>
    <row r="104" spans="1:2" ht="15.75" customHeight="1">
      <c r="A104" s="2" t="s">
        <v>109</v>
      </c>
      <c r="B104" s="31">
        <v>0.67</v>
      </c>
    </row>
    <row r="105" spans="1:2" ht="15.75" customHeight="1">
      <c r="A105" s="2" t="s">
        <v>110</v>
      </c>
      <c r="B105" s="31">
        <v>0.57379999999999998</v>
      </c>
    </row>
    <row r="106" spans="1:2" ht="15.75" customHeight="1">
      <c r="A106" s="2" t="s">
        <v>111</v>
      </c>
      <c r="B106" s="31">
        <v>5.6314166666666674</v>
      </c>
    </row>
    <row r="107" spans="1:2" ht="15.75" customHeight="1">
      <c r="A107" s="7" t="s">
        <v>112</v>
      </c>
      <c r="B107" s="31">
        <v>5.58</v>
      </c>
    </row>
    <row r="108" spans="1:2" ht="15.75" customHeight="1">
      <c r="A108" s="2" t="s">
        <v>113</v>
      </c>
      <c r="B108" s="31">
        <v>1.9731348999999998</v>
      </c>
    </row>
    <row r="109" spans="1:2" ht="15.75" customHeight="1">
      <c r="A109" s="2" t="s">
        <v>114</v>
      </c>
      <c r="B109" s="31">
        <v>4.5599999999999996</v>
      </c>
    </row>
    <row r="110" spans="1:2" ht="15.75" customHeight="1">
      <c r="A110" s="2" t="s">
        <v>115</v>
      </c>
      <c r="B110" s="31">
        <v>3.4683081840000001</v>
      </c>
    </row>
    <row r="111" spans="1:2" ht="15.75" customHeight="1">
      <c r="A111" s="2" t="s">
        <v>116</v>
      </c>
      <c r="B111" s="31">
        <v>3.45</v>
      </c>
    </row>
    <row r="112" spans="1:2" ht="15.75" customHeight="1">
      <c r="A112" s="2" t="s">
        <v>117</v>
      </c>
      <c r="B112" s="31">
        <v>4.3903982485437592</v>
      </c>
    </row>
    <row r="113" spans="1:3" ht="15.75" customHeight="1">
      <c r="A113" s="2" t="s">
        <v>118</v>
      </c>
      <c r="B113" s="31">
        <v>3.9682539682539684</v>
      </c>
    </row>
    <row r="114" spans="1:3" ht="15.75" customHeight="1">
      <c r="A114" s="2" t="s">
        <v>119</v>
      </c>
      <c r="B114" s="31">
        <v>1.2125220458553791</v>
      </c>
    </row>
    <row r="115" spans="1:3" ht="15.75" customHeight="1">
      <c r="A115" s="2" t="s">
        <v>120</v>
      </c>
      <c r="B115" s="31">
        <v>2.2675378749999999</v>
      </c>
    </row>
    <row r="116" spans="1:3" ht="15.75" customHeight="1">
      <c r="A116" s="2" t="s">
        <v>121</v>
      </c>
      <c r="B116" s="31">
        <v>0.79</v>
      </c>
    </row>
    <row r="117" spans="1:3" ht="15.75" customHeight="1">
      <c r="A117" s="2" t="s">
        <v>122</v>
      </c>
      <c r="B117" s="31">
        <v>1.2813000000000001</v>
      </c>
    </row>
    <row r="118" spans="1:3" ht="15.75" customHeight="1">
      <c r="A118" s="2" t="s">
        <v>123</v>
      </c>
      <c r="B118" s="31">
        <v>1.2866162319999999</v>
      </c>
    </row>
    <row r="119" spans="1:3" ht="15.75" customHeight="1">
      <c r="A119" s="2" t="s">
        <v>124</v>
      </c>
      <c r="B119" s="31">
        <v>0.48018016921036638</v>
      </c>
    </row>
    <row r="120" spans="1:3" ht="15.75" customHeight="1">
      <c r="A120" s="2" t="s">
        <v>125</v>
      </c>
      <c r="B120" s="31">
        <v>1.6611661166116611</v>
      </c>
    </row>
    <row r="121" spans="1:3" ht="15.75" customHeight="1">
      <c r="A121" s="2" t="s">
        <v>126</v>
      </c>
      <c r="B121" s="31">
        <v>1.6611661166116611</v>
      </c>
    </row>
    <row r="122" spans="1:3" ht="15.75" customHeight="1">
      <c r="A122" s="2" t="s">
        <v>127</v>
      </c>
      <c r="B122" s="31">
        <v>6</v>
      </c>
      <c r="C122" s="5" t="s">
        <v>128</v>
      </c>
    </row>
    <row r="123" spans="1:3" ht="15.75" customHeight="1">
      <c r="A123" s="2" t="s">
        <v>129</v>
      </c>
      <c r="B123" s="31">
        <v>0.38503850385038502</v>
      </c>
    </row>
    <row r="124" spans="1:3" ht="15.75" customHeight="1">
      <c r="A124" s="2" t="s">
        <v>130</v>
      </c>
      <c r="B124" s="31">
        <v>3.04E-2</v>
      </c>
    </row>
    <row r="125" spans="1:3" ht="15.75" customHeight="1">
      <c r="A125" s="2" t="s">
        <v>131</v>
      </c>
      <c r="B125" s="31">
        <v>1.6810227499999997</v>
      </c>
    </row>
    <row r="126" spans="1:3" ht="15.75" customHeight="1">
      <c r="A126" s="2" t="s">
        <v>132</v>
      </c>
      <c r="B126" s="31">
        <v>0.20499999999999999</v>
      </c>
    </row>
    <row r="127" spans="1:3" ht="15.75" customHeight="1">
      <c r="A127" s="2" t="s">
        <v>133</v>
      </c>
      <c r="B127" s="31">
        <v>0.121012101210121</v>
      </c>
    </row>
    <row r="128" spans="1:3" ht="15.75" customHeight="1">
      <c r="A128" s="2" t="s">
        <v>134</v>
      </c>
      <c r="B128" s="31">
        <v>1.6776677667766775</v>
      </c>
    </row>
    <row r="129" spans="1:3" ht="15.75" customHeight="1">
      <c r="A129" s="2" t="s">
        <v>135</v>
      </c>
      <c r="B129" s="31">
        <v>0.20499999999999999</v>
      </c>
    </row>
    <row r="130" spans="1:3" ht="15.75" customHeight="1">
      <c r="A130" s="2" t="s">
        <v>136</v>
      </c>
      <c r="B130" s="31">
        <v>0.20499999999999999</v>
      </c>
    </row>
    <row r="131" spans="1:3" ht="15.75" customHeight="1">
      <c r="A131" s="2" t="s">
        <v>137</v>
      </c>
      <c r="B131" s="31">
        <v>0.34190476190476188</v>
      </c>
    </row>
    <row r="132" spans="1:3" ht="15.75" customHeight="1">
      <c r="A132" s="2" t="s">
        <v>138</v>
      </c>
      <c r="B132" s="31">
        <v>2.5000541997955108</v>
      </c>
    </row>
    <row r="133" spans="1:3" ht="15.75" customHeight="1">
      <c r="A133" s="2" t="s">
        <v>139</v>
      </c>
      <c r="B133" s="31">
        <v>3.5049999999999998E-2</v>
      </c>
    </row>
    <row r="134" spans="1:3" ht="15.75" customHeight="1">
      <c r="A134" s="2" t="s">
        <v>140</v>
      </c>
      <c r="B134" s="31">
        <v>6.7796000000000003</v>
      </c>
    </row>
    <row r="135" spans="1:3" ht="15.75" customHeight="1">
      <c r="A135" s="2" t="s">
        <v>141</v>
      </c>
      <c r="B135" s="31">
        <v>2.38</v>
      </c>
    </row>
    <row r="136" spans="1:3" ht="15.75" customHeight="1">
      <c r="A136" s="2" t="s">
        <v>142</v>
      </c>
      <c r="B136" s="31">
        <v>6.24</v>
      </c>
    </row>
    <row r="137" spans="1:3" ht="15.75" customHeight="1">
      <c r="A137" s="2" t="s">
        <v>143</v>
      </c>
      <c r="B137" s="31">
        <v>0.55000000000000004</v>
      </c>
      <c r="C137" s="5" t="s">
        <v>144</v>
      </c>
    </row>
    <row r="138" spans="1:3" ht="15.75" customHeight="1">
      <c r="A138" s="2" t="s">
        <v>145</v>
      </c>
      <c r="B138" s="31">
        <v>1.045104510451045</v>
      </c>
    </row>
    <row r="139" spans="1:3" ht="15.75" customHeight="1">
      <c r="A139" s="2" t="s">
        <v>146</v>
      </c>
      <c r="B139" s="31">
        <v>0.51235416666666667</v>
      </c>
    </row>
    <row r="140" spans="1:3" ht="15.75" customHeight="1">
      <c r="A140" s="2" t="s">
        <v>147</v>
      </c>
      <c r="B140" s="31">
        <v>0.82673249999999987</v>
      </c>
    </row>
    <row r="141" spans="1:3" ht="15.75" customHeight="1">
      <c r="A141" s="2" t="s">
        <v>148</v>
      </c>
      <c r="B141" s="31">
        <v>0.16501650165016502</v>
      </c>
    </row>
    <row r="142" spans="1:3" ht="15.75" customHeight="1">
      <c r="A142" s="2" t="s">
        <v>149</v>
      </c>
      <c r="B142" s="31">
        <v>0.77282793716699971</v>
      </c>
    </row>
    <row r="143" spans="1:3" ht="15.75" customHeight="1">
      <c r="A143" s="2" t="s">
        <v>150</v>
      </c>
      <c r="B143" s="31">
        <v>0.52528025302530246</v>
      </c>
    </row>
    <row r="144" spans="1:3" ht="15.75" customHeight="1">
      <c r="A144" s="2" t="s">
        <v>151</v>
      </c>
      <c r="B144" s="31">
        <v>0.41554364212176709</v>
      </c>
    </row>
    <row r="145" spans="1:3" ht="15.75" customHeight="1">
      <c r="A145" s="2" t="s">
        <v>152</v>
      </c>
      <c r="B145" s="31">
        <v>0.46798079959256428</v>
      </c>
    </row>
    <row r="146" spans="1:3" ht="15.75" customHeight="1">
      <c r="A146" s="2" t="s">
        <v>153</v>
      </c>
      <c r="B146" s="31">
        <v>0.52482407953998866</v>
      </c>
    </row>
    <row r="147" spans="1:3" ht="15.75" customHeight="1">
      <c r="A147" s="2" t="s">
        <v>154</v>
      </c>
      <c r="B147" s="31">
        <v>0.36730507503866677</v>
      </c>
    </row>
    <row r="148" spans="1:3" ht="15.75" customHeight="1">
      <c r="A148" s="2" t="s">
        <v>155</v>
      </c>
      <c r="B148" s="31">
        <v>0.33003300330033003</v>
      </c>
    </row>
    <row r="149" spans="1:3" ht="15.75" customHeight="1">
      <c r="A149" s="2" t="s">
        <v>156</v>
      </c>
      <c r="B149" s="31">
        <v>0.55315957190957188</v>
      </c>
    </row>
    <row r="150" spans="1:3" ht="15.75" customHeight="1">
      <c r="A150" s="2" t="s">
        <v>157</v>
      </c>
      <c r="B150" s="31">
        <v>0.52910879999999993</v>
      </c>
    </row>
    <row r="151" spans="1:3" ht="15.75" customHeight="1">
      <c r="A151" s="2" t="s">
        <v>158</v>
      </c>
      <c r="B151" s="31">
        <v>0.43844166666666667</v>
      </c>
    </row>
    <row r="152" spans="1:3" ht="15.75" customHeight="1">
      <c r="A152" s="2" t="s">
        <v>159</v>
      </c>
      <c r="B152" s="31">
        <v>0.27502750275027499</v>
      </c>
    </row>
    <row r="153" spans="1:3" ht="15.75" customHeight="1">
      <c r="A153" s="2" t="s">
        <v>160</v>
      </c>
      <c r="B153" s="31">
        <v>0.27557749999999998</v>
      </c>
    </row>
    <row r="154" spans="1:3" ht="15.75" customHeight="1">
      <c r="A154" s="2" t="s">
        <v>161</v>
      </c>
      <c r="B154" s="31">
        <v>1.9416</v>
      </c>
    </row>
    <row r="155" spans="1:3" ht="15.75" customHeight="1">
      <c r="A155" s="2" t="s">
        <v>162</v>
      </c>
      <c r="B155" s="31">
        <v>2.3940333333333328</v>
      </c>
    </row>
    <row r="156" spans="1:3" ht="15.75" customHeight="1">
      <c r="A156" s="2" t="s">
        <v>163</v>
      </c>
      <c r="B156" s="31">
        <v>1.973347851421307</v>
      </c>
    </row>
    <row r="157" spans="1:3" ht="15.75" customHeight="1">
      <c r="A157" s="2" t="s">
        <v>164</v>
      </c>
      <c r="B157" s="31">
        <v>8</v>
      </c>
      <c r="C157" s="5" t="s">
        <v>165</v>
      </c>
    </row>
    <row r="158" spans="1:3" ht="15.75" customHeight="1">
      <c r="A158" s="2" t="s">
        <v>166</v>
      </c>
      <c r="B158" s="31">
        <v>0.56105610561056107</v>
      </c>
    </row>
    <row r="159" spans="1:3" ht="15.75" customHeight="1">
      <c r="A159" s="2" t="s">
        <v>167</v>
      </c>
      <c r="B159" s="31">
        <v>2.6486111111111112</v>
      </c>
    </row>
    <row r="160" spans="1:3" ht="15.75" customHeight="1">
      <c r="A160" s="2" t="s">
        <v>168</v>
      </c>
      <c r="B160" s="31">
        <v>0.31494571428571422</v>
      </c>
    </row>
    <row r="161" spans="1:3" ht="15.75" customHeight="1">
      <c r="A161" s="2" t="s">
        <v>169</v>
      </c>
      <c r="B161" s="31">
        <v>0.16501650165016502</v>
      </c>
    </row>
    <row r="162" spans="1:3" ht="15.75" customHeight="1">
      <c r="A162" s="2" t="s">
        <v>170</v>
      </c>
      <c r="B162" s="31">
        <v>0.55000000000000004</v>
      </c>
    </row>
    <row r="163" spans="1:3" ht="15.75" customHeight="1">
      <c r="A163" s="2" t="s">
        <v>171</v>
      </c>
      <c r="B163" s="31">
        <v>5.47</v>
      </c>
    </row>
    <row r="164" spans="1:3" ht="15.75" customHeight="1">
      <c r="A164" s="2" t="s">
        <v>172</v>
      </c>
      <c r="B164" s="31">
        <v>0.82</v>
      </c>
    </row>
    <row r="165" spans="1:3" ht="15.75" customHeight="1">
      <c r="A165" s="2" t="s">
        <v>173</v>
      </c>
      <c r="B165" s="31">
        <v>0.31</v>
      </c>
    </row>
    <row r="166" spans="1:3" ht="15.75" customHeight="1">
      <c r="A166" s="2" t="s">
        <v>174</v>
      </c>
      <c r="B166" s="31">
        <v>0.82</v>
      </c>
    </row>
    <row r="167" spans="1:3" ht="15.75" customHeight="1">
      <c r="A167" s="2" t="s">
        <v>175</v>
      </c>
      <c r="B167" s="31">
        <v>3.38</v>
      </c>
      <c r="C167" s="4" t="s">
        <v>176</v>
      </c>
    </row>
    <row r="168" spans="1:3" ht="15.75" customHeight="1">
      <c r="A168" s="2" t="s">
        <v>177</v>
      </c>
      <c r="B168" s="31">
        <v>0.20800608818265071</v>
      </c>
    </row>
    <row r="169" spans="1:3" ht="15.75" customHeight="1">
      <c r="A169" s="2" t="s">
        <v>178</v>
      </c>
      <c r="B169" s="31">
        <v>0.08</v>
      </c>
    </row>
    <row r="170" spans="1:3" ht="15.75" customHeight="1">
      <c r="A170" s="2" t="s">
        <v>179</v>
      </c>
      <c r="B170" s="31">
        <v>6.24</v>
      </c>
    </row>
    <row r="171" spans="1:3" ht="15.75" customHeight="1">
      <c r="A171" s="2" t="s">
        <v>180</v>
      </c>
      <c r="B171" s="31">
        <v>4.78</v>
      </c>
    </row>
    <row r="172" spans="1:3" ht="15.75" customHeight="1">
      <c r="A172" s="2" t="s">
        <v>181</v>
      </c>
      <c r="B172" s="31">
        <v>7.08</v>
      </c>
      <c r="C172" s="5" t="s">
        <v>182</v>
      </c>
    </row>
    <row r="173" spans="1:3" ht="15.75" customHeight="1">
      <c r="A173" s="2" t="s">
        <v>183</v>
      </c>
      <c r="B173" s="31">
        <v>6.24</v>
      </c>
    </row>
    <row r="174" spans="1:3" ht="15.75" customHeight="1">
      <c r="A174" s="2" t="s">
        <v>184</v>
      </c>
      <c r="B174" s="31">
        <v>6.24</v>
      </c>
    </row>
    <row r="175" spans="1:3" ht="15.75" customHeight="1">
      <c r="A175" s="6" t="s">
        <v>185</v>
      </c>
      <c r="B175" s="31"/>
    </row>
    <row r="176" spans="1:3" ht="15.75" customHeight="1">
      <c r="A176" s="2" t="s">
        <v>186</v>
      </c>
      <c r="B176" s="31">
        <v>0.93696349999999984</v>
      </c>
    </row>
    <row r="177" spans="1:2" ht="15.75" customHeight="1">
      <c r="A177" s="2" t="s">
        <v>187</v>
      </c>
      <c r="B177" s="31">
        <v>0.93509350935093505</v>
      </c>
    </row>
    <row r="178" spans="1:2" ht="15.75" customHeight="1">
      <c r="A178" s="2" t="s">
        <v>188</v>
      </c>
      <c r="B178" s="31">
        <v>0.64708333333333334</v>
      </c>
    </row>
    <row r="179" spans="1:2" ht="15.75" customHeight="1">
      <c r="A179" s="2" t="s">
        <v>189</v>
      </c>
      <c r="B179" s="31">
        <v>6.24</v>
      </c>
    </row>
    <row r="180" spans="1:2" ht="15.75" customHeight="1">
      <c r="A180" s="2" t="s">
        <v>190</v>
      </c>
      <c r="B180" s="31">
        <v>3</v>
      </c>
    </row>
    <row r="181" spans="1:2" ht="15.75" customHeight="1">
      <c r="A181" s="2" t="s">
        <v>191</v>
      </c>
      <c r="B181" s="31">
        <v>0.80167999999999995</v>
      </c>
    </row>
    <row r="182" spans="1:2" ht="15.75" customHeight="1">
      <c r="A182" s="2" t="s">
        <v>192</v>
      </c>
      <c r="B182" s="31">
        <v>1.2746270816172129</v>
      </c>
    </row>
    <row r="183" spans="1:2" ht="15.75" customHeight="1">
      <c r="A183" s="2" t="s">
        <v>193</v>
      </c>
      <c r="B183" s="31">
        <v>0.74833333333333329</v>
      </c>
    </row>
    <row r="184" spans="1:2" ht="15.75" customHeight="1">
      <c r="A184" s="2" t="s">
        <v>194</v>
      </c>
      <c r="B184" s="31">
        <v>1.759981920879667</v>
      </c>
    </row>
    <row r="185" spans="1:2" ht="15.75" customHeight="1">
      <c r="A185" s="2" t="s">
        <v>195</v>
      </c>
      <c r="B185" s="31">
        <v>0.91217611200169335</v>
      </c>
    </row>
    <row r="186" spans="1:2" ht="15.75" customHeight="1">
      <c r="A186" s="2" t="s">
        <v>196</v>
      </c>
      <c r="B186" s="31">
        <v>0.46130145139288681</v>
      </c>
    </row>
    <row r="187" spans="1:2" ht="15.75" customHeight="1">
      <c r="A187" s="2" t="s">
        <v>197</v>
      </c>
      <c r="B187" s="31">
        <v>1.1574255</v>
      </c>
    </row>
    <row r="188" spans="1:2" ht="15.75" customHeight="1">
      <c r="A188" s="2" t="s">
        <v>198</v>
      </c>
      <c r="B188" s="31">
        <v>2.4250440917107583</v>
      </c>
    </row>
    <row r="189" spans="1:2" ht="15.75" customHeight="1">
      <c r="A189" s="2" t="s">
        <v>199</v>
      </c>
      <c r="B189" s="31">
        <v>1.069166666666667</v>
      </c>
    </row>
    <row r="190" spans="1:2" ht="15.75" customHeight="1">
      <c r="A190" s="2" t="s">
        <v>200</v>
      </c>
      <c r="B190" s="31">
        <v>2.4250820000000002</v>
      </c>
    </row>
    <row r="191" spans="1:2" ht="15.75" customHeight="1">
      <c r="A191" s="2" t="s">
        <v>201</v>
      </c>
      <c r="B191" s="31">
        <v>1.4330058731194555</v>
      </c>
    </row>
    <row r="192" spans="1:2" ht="15.75" customHeight="1">
      <c r="A192" s="2" t="s">
        <v>202</v>
      </c>
      <c r="B192" s="31">
        <v>1.7374903846153851</v>
      </c>
    </row>
    <row r="193" spans="1:2" ht="15.75" customHeight="1">
      <c r="A193" s="2" t="s">
        <v>203</v>
      </c>
      <c r="B193" s="31">
        <v>1.810008549943646</v>
      </c>
    </row>
    <row r="194" spans="1:2" ht="15.75" customHeight="1">
      <c r="A194" s="2" t="s">
        <v>204</v>
      </c>
      <c r="B194" s="31">
        <v>1.296574363670518</v>
      </c>
    </row>
    <row r="195" spans="1:2" ht="15.75" customHeight="1">
      <c r="A195" s="2" t="s">
        <v>205</v>
      </c>
      <c r="B195" s="31">
        <v>1.1574255</v>
      </c>
    </row>
    <row r="196" spans="1:2" ht="15.75" customHeight="1">
      <c r="A196" s="2" t="s">
        <v>206</v>
      </c>
      <c r="B196" s="31">
        <v>1.1551155115511551</v>
      </c>
    </row>
    <row r="197" spans="1:2" ht="15.75" customHeight="1">
      <c r="A197" s="2" t="s">
        <v>207</v>
      </c>
      <c r="B197" s="31">
        <v>2.4250440917107583</v>
      </c>
    </row>
    <row r="198" spans="1:2" ht="15.75" customHeight="1">
      <c r="A198" s="2" t="s">
        <v>208</v>
      </c>
      <c r="B198" s="31">
        <v>0.55333333333333334</v>
      </c>
    </row>
    <row r="199" spans="1:2" ht="15.75" customHeight="1">
      <c r="A199" s="2" t="s">
        <v>209</v>
      </c>
      <c r="B199" s="31">
        <v>1.0038524582413471</v>
      </c>
    </row>
    <row r="200" spans="1:2" ht="15.75" customHeight="1">
      <c r="A200" s="2" t="s">
        <v>210</v>
      </c>
      <c r="B200" s="31">
        <v>0.6544614167578453</v>
      </c>
    </row>
    <row r="201" spans="1:2" ht="15.75" customHeight="1">
      <c r="A201" s="2" t="s">
        <v>211</v>
      </c>
      <c r="B201" s="31">
        <v>0.47607109788359792</v>
      </c>
    </row>
    <row r="202" spans="1:2" ht="15.75" customHeight="1">
      <c r="A202" s="2" t="s">
        <v>212</v>
      </c>
      <c r="B202" s="31">
        <v>1.4683680878127596</v>
      </c>
    </row>
    <row r="203" spans="1:2" ht="15.75" customHeight="1">
      <c r="A203" s="2" t="s">
        <v>213</v>
      </c>
      <c r="B203" s="31">
        <v>1.7636959999999999</v>
      </c>
    </row>
    <row r="204" spans="1:2" ht="15.75" customHeight="1">
      <c r="A204" s="2" t="s">
        <v>214</v>
      </c>
      <c r="B204" s="31">
        <v>2.7557805252297221</v>
      </c>
    </row>
    <row r="205" spans="1:2" ht="15.75" customHeight="1">
      <c r="A205" s="2" t="s">
        <v>215</v>
      </c>
      <c r="B205" s="31">
        <v>1.8595999999999999</v>
      </c>
    </row>
    <row r="206" spans="1:2" ht="15.75" customHeight="1">
      <c r="A206" s="2" t="s">
        <v>216</v>
      </c>
      <c r="B206" s="31">
        <v>1.8595999999999999</v>
      </c>
    </row>
    <row r="207" spans="1:2" ht="15.75" customHeight="1">
      <c r="A207" s="2" t="s">
        <v>217</v>
      </c>
      <c r="B207" s="31">
        <v>1.8595999999999999</v>
      </c>
    </row>
    <row r="208" spans="1:2" ht="15.75" customHeight="1">
      <c r="A208" s="2" t="s">
        <v>218</v>
      </c>
      <c r="B208" s="31">
        <v>6.58</v>
      </c>
    </row>
    <row r="209" spans="1:2" ht="15.75" customHeight="1">
      <c r="A209" s="2" t="s">
        <v>219</v>
      </c>
      <c r="B209" s="31">
        <v>6.24</v>
      </c>
    </row>
    <row r="210" spans="1:2" ht="15.75" customHeight="1">
      <c r="A210" s="2" t="s">
        <v>220</v>
      </c>
      <c r="B210" s="31">
        <v>6.24</v>
      </c>
    </row>
    <row r="211" spans="1:2" ht="15.75" customHeight="1">
      <c r="A211" s="2" t="s">
        <v>221</v>
      </c>
      <c r="B211" s="31"/>
    </row>
    <row r="212" spans="1:2" ht="15.75" customHeight="1">
      <c r="A212" s="2" t="s">
        <v>222</v>
      </c>
      <c r="B212" s="31">
        <v>1.3661402740777751</v>
      </c>
    </row>
    <row r="213" spans="1:2" ht="15.75" customHeight="1">
      <c r="A213" s="2" t="s">
        <v>223</v>
      </c>
      <c r="B213" s="31">
        <v>1</v>
      </c>
    </row>
    <row r="214" spans="1:2" ht="15.75" customHeight="1">
      <c r="A214" s="2" t="s">
        <v>224</v>
      </c>
      <c r="B214" s="31">
        <v>1.0071428571428571</v>
      </c>
    </row>
    <row r="215" spans="1:2" ht="15.75" customHeight="1">
      <c r="A215" s="2" t="s">
        <v>225</v>
      </c>
      <c r="B215" s="31">
        <v>0.1</v>
      </c>
    </row>
    <row r="216" spans="1:2" ht="15.75" customHeight="1">
      <c r="A216" s="2" t="s">
        <v>226</v>
      </c>
      <c r="B216" s="31">
        <v>6.65</v>
      </c>
    </row>
    <row r="217" spans="1:2" ht="15.75" customHeight="1">
      <c r="A217" s="2" t="s">
        <v>227</v>
      </c>
      <c r="B217" s="31">
        <v>1.7741352258852261</v>
      </c>
    </row>
    <row r="218" spans="1:2" ht="15.75" customHeight="1">
      <c r="A218" s="2" t="s">
        <v>228</v>
      </c>
      <c r="B218" s="31">
        <v>1.7741</v>
      </c>
    </row>
    <row r="219" spans="1:2" ht="15.75" customHeight="1">
      <c r="A219" s="2" t="s">
        <v>229</v>
      </c>
      <c r="B219" s="31">
        <v>2.4250440917107583</v>
      </c>
    </row>
    <row r="220" spans="1:2" ht="15.75" customHeight="1">
      <c r="A220" s="2" t="s">
        <v>230</v>
      </c>
      <c r="B220" s="31">
        <v>1.1574255</v>
      </c>
    </row>
    <row r="221" spans="1:2" ht="15.75" customHeight="1">
      <c r="A221" s="2" t="s">
        <v>231</v>
      </c>
      <c r="B221" s="31">
        <v>3.8029771248170166</v>
      </c>
    </row>
    <row r="222" spans="1:2" ht="15.75" customHeight="1">
      <c r="A222" s="2" t="s">
        <v>232</v>
      </c>
      <c r="B222" s="31">
        <v>1.1243562</v>
      </c>
    </row>
    <row r="223" spans="1:2" ht="15.75" customHeight="1">
      <c r="A223" s="2" t="s">
        <v>233</v>
      </c>
      <c r="B223" s="31">
        <v>1.1221122112211221</v>
      </c>
    </row>
    <row r="224" spans="1:2" ht="15.75" customHeight="1">
      <c r="A224" s="2" t="s">
        <v>234</v>
      </c>
      <c r="B224" s="31">
        <v>2.4250440917107583</v>
      </c>
    </row>
    <row r="225" spans="1:3" ht="15.75" customHeight="1">
      <c r="A225" s="2" t="s">
        <v>235</v>
      </c>
      <c r="B225" s="31">
        <v>0.31791157315831092</v>
      </c>
    </row>
    <row r="226" spans="1:3" ht="15.75" customHeight="1">
      <c r="A226" s="2" t="s">
        <v>236</v>
      </c>
      <c r="B226" s="31">
        <v>0.94</v>
      </c>
    </row>
    <row r="227" spans="1:3" ht="15.75" customHeight="1">
      <c r="A227" s="2" t="s">
        <v>237</v>
      </c>
      <c r="B227" s="31">
        <v>1.34</v>
      </c>
    </row>
    <row r="228" spans="1:3" ht="15.75" customHeight="1">
      <c r="A228" s="2" t="s">
        <v>238</v>
      </c>
      <c r="B228" s="31">
        <v>1.6733333333333329</v>
      </c>
    </row>
    <row r="229" spans="1:3" ht="15.75" customHeight="1">
      <c r="A229" s="2" t="s">
        <v>239</v>
      </c>
      <c r="B229" s="31">
        <v>0.81727272727272726</v>
      </c>
    </row>
    <row r="230" spans="1:3" ht="15.75" customHeight="1">
      <c r="A230" s="2" t="s">
        <v>240</v>
      </c>
      <c r="B230" s="31">
        <v>0.84150000000000003</v>
      </c>
    </row>
    <row r="231" spans="1:3" ht="15.75" customHeight="1">
      <c r="A231" s="2" t="s">
        <v>241</v>
      </c>
      <c r="B231" s="31">
        <v>6.24</v>
      </c>
    </row>
    <row r="232" spans="1:3" ht="15.75" customHeight="1">
      <c r="A232" s="2" t="s">
        <v>242</v>
      </c>
      <c r="B232" s="31">
        <v>4.5999999999999996</v>
      </c>
      <c r="C232" s="5" t="s">
        <v>243</v>
      </c>
    </row>
    <row r="233" spans="1:3" ht="15.75" customHeight="1">
      <c r="A233" s="2" t="s">
        <v>244</v>
      </c>
      <c r="B233" s="31">
        <v>0.8</v>
      </c>
    </row>
    <row r="234" spans="1:3" ht="15.75" customHeight="1">
      <c r="A234" s="2" t="s">
        <v>245</v>
      </c>
      <c r="B234" s="31">
        <v>3.55</v>
      </c>
      <c r="C234" s="5" t="s">
        <v>246</v>
      </c>
    </row>
    <row r="235" spans="1:3" ht="15.75" customHeight="1">
      <c r="A235" s="2" t="s">
        <v>247</v>
      </c>
      <c r="B235" s="31">
        <v>0.49</v>
      </c>
      <c r="C235" s="5" t="s">
        <v>248</v>
      </c>
    </row>
    <row r="236" spans="1:3" ht="15.75" customHeight="1">
      <c r="A236" s="2" t="s">
        <v>249</v>
      </c>
      <c r="B236" s="31">
        <v>1.63</v>
      </c>
      <c r="C236" s="4" t="s">
        <v>250</v>
      </c>
    </row>
    <row r="237" spans="1:3" ht="15.75" customHeight="1">
      <c r="A237" s="2" t="s">
        <v>251</v>
      </c>
      <c r="B237" s="31">
        <v>1.5</v>
      </c>
      <c r="C237" s="8" t="s">
        <v>252</v>
      </c>
    </row>
    <row r="238" spans="1:3" ht="15.75" customHeight="1">
      <c r="A238" s="2" t="s">
        <v>253</v>
      </c>
      <c r="B238" s="31">
        <v>1.3</v>
      </c>
      <c r="C238" s="9" t="s">
        <v>252</v>
      </c>
    </row>
    <row r="239" spans="1:3" ht="15.75" customHeight="1">
      <c r="A239" s="2" t="s">
        <v>254</v>
      </c>
      <c r="B239" s="31">
        <v>0.10151</v>
      </c>
    </row>
    <row r="240" spans="1:3" ht="15.75" customHeight="1">
      <c r="A240" s="2" t="s">
        <v>255</v>
      </c>
      <c r="B240" s="31">
        <v>9.7706666666666664E-2</v>
      </c>
    </row>
    <row r="241" spans="1:3" ht="15.75" customHeight="1">
      <c r="A241" s="2" t="s">
        <v>256</v>
      </c>
      <c r="B241" s="31">
        <v>9.2989999999999989E-2</v>
      </c>
    </row>
    <row r="242" spans="1:3" ht="15.75" customHeight="1">
      <c r="A242" s="2" t="s">
        <v>257</v>
      </c>
      <c r="B242" s="31">
        <v>6.24</v>
      </c>
    </row>
    <row r="243" spans="1:3" ht="15.75" customHeight="1">
      <c r="A243" s="2" t="s">
        <v>258</v>
      </c>
      <c r="B243" s="31">
        <v>6.23</v>
      </c>
    </row>
    <row r="244" spans="1:3" ht="15.75" customHeight="1">
      <c r="A244" s="2" t="s">
        <v>259</v>
      </c>
      <c r="B244" s="31">
        <v>1.6534649999999997</v>
      </c>
    </row>
    <row r="245" spans="1:3" ht="15.75" customHeight="1">
      <c r="A245" s="2" t="s">
        <v>260</v>
      </c>
      <c r="B245" s="31">
        <v>2</v>
      </c>
    </row>
    <row r="246" spans="1:3" ht="15.75" customHeight="1">
      <c r="A246" s="2" t="s">
        <v>261</v>
      </c>
      <c r="B246" s="31">
        <v>0.66138599999999992</v>
      </c>
    </row>
    <row r="247" spans="1:3" ht="15.75" customHeight="1">
      <c r="A247" s="2" t="s">
        <v>262</v>
      </c>
      <c r="B247" s="31">
        <v>0.09</v>
      </c>
      <c r="C247" s="5" t="s">
        <v>263</v>
      </c>
    </row>
    <row r="248" spans="1:3" ht="15.75" customHeight="1">
      <c r="A248" s="2" t="s">
        <v>264</v>
      </c>
      <c r="B248" s="31">
        <v>0.44130000000000003</v>
      </c>
    </row>
    <row r="249" spans="1:3" ht="15.75" customHeight="1">
      <c r="A249" s="2" t="s">
        <v>265</v>
      </c>
      <c r="B249" s="31">
        <v>0.43</v>
      </c>
      <c r="C249" s="5" t="s">
        <v>266</v>
      </c>
    </row>
    <row r="250" spans="1:3" ht="15.75" customHeight="1">
      <c r="A250" s="2" t="s">
        <v>267</v>
      </c>
      <c r="B250" s="31">
        <v>1</v>
      </c>
      <c r="C250" s="5" t="s">
        <v>268</v>
      </c>
    </row>
    <row r="251" spans="1:3" ht="15.75" customHeight="1">
      <c r="A251" s="2" t="s">
        <v>269</v>
      </c>
      <c r="B251" s="31">
        <v>1</v>
      </c>
      <c r="C251" s="5" t="s">
        <v>270</v>
      </c>
    </row>
    <row r="252" spans="1:3" ht="15.75" customHeight="1">
      <c r="A252" s="2" t="s">
        <v>271</v>
      </c>
      <c r="B252" s="31">
        <v>0.505</v>
      </c>
    </row>
    <row r="253" spans="1:3" ht="15.75" customHeight="1">
      <c r="A253" s="2" t="s">
        <v>272</v>
      </c>
      <c r="B253" s="31">
        <v>0.23803763728220251</v>
      </c>
    </row>
    <row r="254" spans="1:3" ht="15.75" customHeight="1">
      <c r="A254" s="2" t="s">
        <v>273</v>
      </c>
      <c r="B254" s="31">
        <v>1.770257526564345</v>
      </c>
    </row>
    <row r="255" spans="1:3" ht="15.75" customHeight="1">
      <c r="A255" s="2" t="s">
        <v>274</v>
      </c>
      <c r="B255" s="31">
        <v>1.7795692639999998</v>
      </c>
    </row>
    <row r="256" spans="1:3" ht="15.75" customHeight="1">
      <c r="A256" s="2" t="s">
        <v>275</v>
      </c>
      <c r="B256" s="31">
        <v>5.65</v>
      </c>
    </row>
    <row r="257" spans="1:3" ht="15.75" customHeight="1">
      <c r="A257" s="2" t="s">
        <v>276</v>
      </c>
      <c r="B257" s="31">
        <v>1</v>
      </c>
      <c r="C257" s="10" t="s">
        <v>277</v>
      </c>
    </row>
    <row r="258" spans="1:3" ht="15.75" customHeight="1">
      <c r="A258" s="2" t="s">
        <v>278</v>
      </c>
      <c r="B258" s="31">
        <v>2.2486772486772488</v>
      </c>
    </row>
    <row r="259" spans="1:3" ht="15.75" customHeight="1">
      <c r="A259" s="2" t="s">
        <v>279</v>
      </c>
      <c r="B259" s="31">
        <v>0.69024130472886103</v>
      </c>
    </row>
    <row r="260" spans="1:3" ht="15.75" customHeight="1">
      <c r="A260" s="2" t="s">
        <v>280</v>
      </c>
      <c r="B260" s="31">
        <v>0.77700000000000002</v>
      </c>
    </row>
    <row r="261" spans="1:3" ht="15.75" customHeight="1">
      <c r="A261" s="2" t="s">
        <v>281</v>
      </c>
      <c r="B261" s="31">
        <v>0.77700000000000002</v>
      </c>
    </row>
    <row r="262" spans="1:3" ht="15.75" customHeight="1">
      <c r="A262" s="2" t="s">
        <v>282</v>
      </c>
      <c r="B262" s="31">
        <v>0.79675388635284483</v>
      </c>
    </row>
    <row r="263" spans="1:3" ht="15.75" customHeight="1">
      <c r="A263" s="2" t="s">
        <v>283</v>
      </c>
      <c r="B263" s="31">
        <v>6.24</v>
      </c>
    </row>
    <row r="264" spans="1:3" ht="15.75" customHeight="1">
      <c r="A264" s="2" t="s">
        <v>284</v>
      </c>
      <c r="B264" s="31">
        <v>4.4092399999999996</v>
      </c>
    </row>
    <row r="265" spans="1:3" ht="15.75" customHeight="1">
      <c r="A265" s="2" t="s">
        <v>285</v>
      </c>
      <c r="B265" s="31">
        <v>6.24</v>
      </c>
    </row>
    <row r="266" spans="1:3" ht="15.75" customHeight="1">
      <c r="A266" s="2" t="s">
        <v>286</v>
      </c>
      <c r="B266" s="31">
        <v>6.24</v>
      </c>
    </row>
    <row r="267" spans="1:3" ht="15.75" customHeight="1">
      <c r="A267" s="2" t="s">
        <v>287</v>
      </c>
      <c r="B267" s="31">
        <v>4.92</v>
      </c>
      <c r="C267" s="11" t="s">
        <v>289</v>
      </c>
    </row>
    <row r="268" spans="1:3" ht="15.75" customHeight="1">
      <c r="A268" s="2" t="s">
        <v>290</v>
      </c>
      <c r="B268" s="31">
        <v>0.29924129188311682</v>
      </c>
    </row>
    <row r="269" spans="1:3" ht="15.75" customHeight="1">
      <c r="A269" s="2" t="s">
        <v>291</v>
      </c>
      <c r="B269" s="31">
        <v>0.35</v>
      </c>
    </row>
    <row r="270" spans="1:3" ht="15.75" customHeight="1">
      <c r="A270" s="2" t="s">
        <v>292</v>
      </c>
      <c r="B270" s="31">
        <v>0.32765127725563908</v>
      </c>
    </row>
    <row r="271" spans="1:3" ht="15.75" customHeight="1">
      <c r="A271" s="2" t="s">
        <v>293</v>
      </c>
      <c r="B271" s="31">
        <v>0.4713106265262515</v>
      </c>
    </row>
    <row r="272" spans="1:3" ht="15.75" customHeight="1">
      <c r="A272" s="2" t="s">
        <v>294</v>
      </c>
      <c r="B272" s="31">
        <v>0.39280759250113179</v>
      </c>
    </row>
    <row r="273" spans="1:3" ht="15.75" customHeight="1">
      <c r="A273" s="2" t="s">
        <v>295</v>
      </c>
      <c r="B273" s="31">
        <v>0.28512367724867732</v>
      </c>
    </row>
    <row r="274" spans="1:3" ht="15.75" customHeight="1">
      <c r="A274" s="2" t="s">
        <v>296</v>
      </c>
      <c r="B274" s="31">
        <v>1.3448181999999997</v>
      </c>
    </row>
    <row r="275" spans="1:3" ht="15.75" customHeight="1">
      <c r="A275" s="2" t="s">
        <v>297</v>
      </c>
      <c r="B275" s="31">
        <v>1.34</v>
      </c>
    </row>
    <row r="276" spans="1:3" ht="15.75" customHeight="1">
      <c r="A276" s="2" t="s">
        <v>298</v>
      </c>
      <c r="B276" s="31">
        <v>0.72607260726072598</v>
      </c>
    </row>
    <row r="277" spans="1:3" ht="15.75" customHeight="1">
      <c r="A277" s="2" t="s">
        <v>299</v>
      </c>
      <c r="B277" s="31">
        <v>0.41207243385120401</v>
      </c>
    </row>
    <row r="278" spans="1:3" ht="15.75" customHeight="1">
      <c r="A278" s="2" t="s">
        <v>300</v>
      </c>
      <c r="B278" s="31">
        <v>1.3448181999999997</v>
      </c>
    </row>
    <row r="279" spans="1:3" ht="15.75" customHeight="1">
      <c r="A279" s="2" t="s">
        <v>301</v>
      </c>
      <c r="B279" s="31">
        <v>0.41248440199999997</v>
      </c>
    </row>
    <row r="280" spans="1:3" ht="15.75" customHeight="1">
      <c r="A280" s="2" t="s">
        <v>302</v>
      </c>
      <c r="B280" s="31">
        <v>1.7196035999999999</v>
      </c>
    </row>
    <row r="281" spans="1:3" ht="15.75" customHeight="1">
      <c r="A281" s="2" t="s">
        <v>303</v>
      </c>
      <c r="B281" s="31">
        <v>1.3421342134213421</v>
      </c>
    </row>
    <row r="282" spans="1:3" ht="15.75" customHeight="1">
      <c r="A282" s="2" t="s">
        <v>304</v>
      </c>
      <c r="B282" s="31">
        <v>1.6941694169416941</v>
      </c>
    </row>
    <row r="283" spans="1:3" ht="15.75" customHeight="1">
      <c r="A283" s="2" t="s">
        <v>305</v>
      </c>
      <c r="B283" s="31">
        <v>1.33</v>
      </c>
      <c r="C283" s="10" t="s">
        <v>306</v>
      </c>
    </row>
    <row r="284" spans="1:3" ht="15.75" customHeight="1">
      <c r="A284" s="2" t="s">
        <v>307</v>
      </c>
      <c r="B284" s="31">
        <v>0.44297292453752796</v>
      </c>
    </row>
    <row r="285" spans="1:3" ht="15.75" customHeight="1">
      <c r="A285" s="2" t="s">
        <v>308</v>
      </c>
      <c r="B285" s="31">
        <v>1.3227719999999998</v>
      </c>
    </row>
    <row r="286" spans="1:3" ht="15.75" customHeight="1">
      <c r="A286" s="2" t="s">
        <v>309</v>
      </c>
      <c r="B286" s="31">
        <v>0.42689459999999996</v>
      </c>
    </row>
    <row r="287" spans="1:3" ht="15.75" customHeight="1">
      <c r="A287" s="2" t="s">
        <v>310</v>
      </c>
      <c r="B287" s="31">
        <v>1.3227746521102666</v>
      </c>
    </row>
    <row r="288" spans="1:3" ht="15.75" customHeight="1">
      <c r="A288" s="2" t="s">
        <v>311</v>
      </c>
      <c r="B288" s="31">
        <v>1.3907933562748016</v>
      </c>
    </row>
    <row r="289" spans="1:3" ht="15.75" customHeight="1">
      <c r="A289" s="2" t="s">
        <v>312</v>
      </c>
      <c r="B289" s="31">
        <v>5.72</v>
      </c>
    </row>
    <row r="290" spans="1:3" ht="15.75" customHeight="1">
      <c r="A290" s="2" t="s">
        <v>313</v>
      </c>
      <c r="B290" s="31">
        <v>3.3069299999999995</v>
      </c>
    </row>
    <row r="291" spans="1:3" ht="15.75" customHeight="1">
      <c r="A291" s="2" t="s">
        <v>314</v>
      </c>
      <c r="B291" s="31">
        <v>1.5055000000000001</v>
      </c>
    </row>
    <row r="292" spans="1:3" ht="15.75" customHeight="1">
      <c r="A292" s="2" t="s">
        <v>315</v>
      </c>
      <c r="B292" s="31">
        <v>1.1243562</v>
      </c>
    </row>
    <row r="293" spans="1:3" ht="15.75" customHeight="1">
      <c r="A293" s="2" t="s">
        <v>316</v>
      </c>
      <c r="B293" s="31">
        <v>1.6537876978486741</v>
      </c>
    </row>
    <row r="294" spans="1:3" ht="15.75" customHeight="1">
      <c r="A294" s="2" t="s">
        <v>317</v>
      </c>
      <c r="B294" s="31">
        <v>3.3069366302756662</v>
      </c>
    </row>
    <row r="295" spans="1:3" ht="15.75" customHeight="1">
      <c r="A295" s="2" t="s">
        <v>318</v>
      </c>
      <c r="B295" s="31">
        <v>1.377890262614861</v>
      </c>
    </row>
    <row r="296" spans="1:3" ht="15.75" customHeight="1">
      <c r="A296" s="2" t="s">
        <v>319</v>
      </c>
      <c r="B296" s="31">
        <v>1.0471944999999998</v>
      </c>
    </row>
    <row r="297" spans="1:3" ht="15.75" customHeight="1">
      <c r="A297" s="2" t="s">
        <v>320</v>
      </c>
      <c r="B297" s="31">
        <v>2.14</v>
      </c>
      <c r="C297" s="10" t="s">
        <v>322</v>
      </c>
    </row>
    <row r="298" spans="1:3" ht="15.75" customHeight="1">
      <c r="A298" s="2" t="s">
        <v>323</v>
      </c>
      <c r="B298" s="31">
        <v>0.57205720572057206</v>
      </c>
    </row>
    <row r="299" spans="1:3" ht="15.75" customHeight="1">
      <c r="A299" s="2" t="s">
        <v>324</v>
      </c>
      <c r="B299" s="31">
        <v>0.53790000000000004</v>
      </c>
    </row>
    <row r="300" spans="1:3" ht="15.75" customHeight="1">
      <c r="A300" s="2" t="s">
        <v>325</v>
      </c>
      <c r="B300" s="31">
        <v>0.73870000000000002</v>
      </c>
    </row>
    <row r="301" spans="1:3" ht="15.75" customHeight="1">
      <c r="A301" s="2" t="s">
        <v>326</v>
      </c>
      <c r="B301" s="31">
        <v>0.53847964033602325</v>
      </c>
    </row>
    <row r="302" spans="1:3" ht="15.75" customHeight="1">
      <c r="A302" s="2" t="s">
        <v>327</v>
      </c>
      <c r="B302" s="31">
        <v>0.74332827749173913</v>
      </c>
    </row>
    <row r="303" spans="1:3" ht="15.75" customHeight="1">
      <c r="A303" s="2" t="s">
        <v>328</v>
      </c>
      <c r="B303" s="31">
        <v>3</v>
      </c>
    </row>
    <row r="304" spans="1:3" ht="15.75" customHeight="1">
      <c r="A304" s="2" t="s">
        <v>329</v>
      </c>
      <c r="B304" s="31">
        <v>0.64534848484848484</v>
      </c>
    </row>
    <row r="305" spans="1:3" ht="15.75" customHeight="1">
      <c r="A305" s="2" t="s">
        <v>330</v>
      </c>
      <c r="B305" s="31">
        <v>1.1221122112211221</v>
      </c>
    </row>
    <row r="306" spans="1:3" ht="15.75" customHeight="1">
      <c r="A306" s="2" t="s">
        <v>331</v>
      </c>
      <c r="B306" s="31">
        <v>1.925</v>
      </c>
    </row>
    <row r="307" spans="1:3" ht="15.75" customHeight="1">
      <c r="A307" s="2" t="s">
        <v>332</v>
      </c>
      <c r="B307" s="31">
        <v>1.9054127297822949</v>
      </c>
    </row>
    <row r="308" spans="1:3" ht="15.75" customHeight="1">
      <c r="A308" s="2" t="s">
        <v>333</v>
      </c>
      <c r="B308" s="31">
        <v>1.4464999999999999</v>
      </c>
    </row>
    <row r="309" spans="1:3" ht="15.75" customHeight="1">
      <c r="A309" s="2" t="s">
        <v>334</v>
      </c>
      <c r="B309" s="31">
        <v>1.6</v>
      </c>
    </row>
    <row r="310" spans="1:3" ht="15.75" customHeight="1">
      <c r="A310" s="2" t="s">
        <v>335</v>
      </c>
      <c r="B310" s="31">
        <v>1.1221122112211221</v>
      </c>
    </row>
    <row r="311" spans="1:3" ht="15.75" customHeight="1">
      <c r="A311" s="2" t="s">
        <v>336</v>
      </c>
      <c r="B311" s="31">
        <v>1.36333056989307</v>
      </c>
    </row>
    <row r="312" spans="1:3" ht="15.75" customHeight="1">
      <c r="A312" s="2" t="s">
        <v>337</v>
      </c>
      <c r="B312" s="31">
        <v>2.6150000000000002</v>
      </c>
    </row>
    <row r="313" spans="1:3" ht="15.75" customHeight="1">
      <c r="A313" s="2" t="s">
        <v>338</v>
      </c>
      <c r="B313" s="31">
        <v>2.62</v>
      </c>
    </row>
    <row r="314" spans="1:3" ht="15.75" customHeight="1">
      <c r="A314" s="2" t="s">
        <v>339</v>
      </c>
      <c r="B314" s="31">
        <v>2.62</v>
      </c>
      <c r="C314" s="12" t="s">
        <v>340</v>
      </c>
    </row>
    <row r="315" spans="1:3" ht="15.75" customHeight="1">
      <c r="A315" s="2" t="s">
        <v>341</v>
      </c>
      <c r="B315" s="31">
        <v>6.7240909999999987</v>
      </c>
    </row>
    <row r="316" spans="1:3" ht="15.75" customHeight="1">
      <c r="A316" s="2" t="s">
        <v>342</v>
      </c>
      <c r="B316" s="31">
        <v>6.72</v>
      </c>
      <c r="C316" s="13" t="s">
        <v>343</v>
      </c>
    </row>
    <row r="317" spans="1:3" ht="15.75" customHeight="1">
      <c r="A317" s="2" t="s">
        <v>344</v>
      </c>
      <c r="B317" s="31">
        <v>0.73487333333333327</v>
      </c>
    </row>
    <row r="318" spans="1:3" ht="15.75" customHeight="1">
      <c r="A318" s="2" t="s">
        <v>345</v>
      </c>
      <c r="B318" s="31">
        <v>0.35</v>
      </c>
    </row>
    <row r="319" spans="1:3" ht="15.75" customHeight="1">
      <c r="A319" s="2" t="s">
        <v>346</v>
      </c>
      <c r="B319" s="31">
        <v>0.27502750275027499</v>
      </c>
    </row>
    <row r="320" spans="1:3" ht="15.75" customHeight="1">
      <c r="A320" s="2" t="s">
        <v>347</v>
      </c>
      <c r="B320" s="31">
        <v>0.85060851648351654</v>
      </c>
    </row>
    <row r="321" spans="1:3" ht="15.75" customHeight="1">
      <c r="A321" s="2" t="s">
        <v>348</v>
      </c>
      <c r="B321" s="31">
        <v>0.53022229454047631</v>
      </c>
    </row>
    <row r="322" spans="1:3" ht="15.75" customHeight="1">
      <c r="A322" s="2" t="s">
        <v>349</v>
      </c>
      <c r="B322" s="31">
        <v>0.27314494596312783</v>
      </c>
    </row>
    <row r="323" spans="1:3" ht="15.75" customHeight="1">
      <c r="A323" s="2" t="s">
        <v>350</v>
      </c>
      <c r="B323" s="31">
        <v>0.43824605487105478</v>
      </c>
    </row>
    <row r="324" spans="1:3" ht="15.75" customHeight="1">
      <c r="A324" s="2" t="s">
        <v>351</v>
      </c>
      <c r="B324" s="31">
        <v>1.135</v>
      </c>
    </row>
    <row r="325" spans="1:3" ht="15.75" customHeight="1">
      <c r="A325" s="2" t="s">
        <v>352</v>
      </c>
      <c r="B325" s="31">
        <v>0.67211264050414998</v>
      </c>
    </row>
    <row r="326" spans="1:3" ht="15.75" customHeight="1">
      <c r="A326" s="2" t="s">
        <v>353</v>
      </c>
      <c r="B326" s="31">
        <v>1.6</v>
      </c>
      <c r="C326" s="5" t="s">
        <v>354</v>
      </c>
    </row>
    <row r="327" spans="1:3" ht="15.75" customHeight="1">
      <c r="A327" s="2" t="s">
        <v>355</v>
      </c>
      <c r="B327" s="31">
        <v>3.07</v>
      </c>
    </row>
    <row r="328" spans="1:3" ht="15.75" customHeight="1">
      <c r="A328" s="2" t="s">
        <v>356</v>
      </c>
      <c r="B328" s="31"/>
    </row>
    <row r="329" spans="1:3" ht="15.75" customHeight="1">
      <c r="A329" s="2" t="s">
        <v>357</v>
      </c>
      <c r="B329" s="31">
        <v>3</v>
      </c>
      <c r="C329" s="8" t="s">
        <v>358</v>
      </c>
    </row>
    <row r="330" spans="1:3" ht="15.75" customHeight="1">
      <c r="A330" s="2" t="s">
        <v>359</v>
      </c>
      <c r="B330" s="31">
        <v>1.2231453026452519</v>
      </c>
    </row>
    <row r="331" spans="1:3" ht="15.75" customHeight="1">
      <c r="A331" s="2" t="s">
        <v>360</v>
      </c>
      <c r="B331" s="31">
        <v>1.697032082996369</v>
      </c>
    </row>
    <row r="332" spans="1:3" ht="15.75" customHeight="1">
      <c r="A332" s="2" t="s">
        <v>361</v>
      </c>
      <c r="B332" s="31">
        <v>7.77</v>
      </c>
      <c r="C332" s="4" t="s">
        <v>362</v>
      </c>
    </row>
    <row r="333" spans="1:3" ht="15.75" customHeight="1">
      <c r="A333" s="2" t="s">
        <v>363</v>
      </c>
      <c r="B333" s="31">
        <v>0.16958615384615383</v>
      </c>
    </row>
    <row r="334" spans="1:3" ht="15.75" customHeight="1">
      <c r="A334" s="2" t="s">
        <v>364</v>
      </c>
      <c r="B334" s="31">
        <v>0.33330738650533864</v>
      </c>
    </row>
    <row r="335" spans="1:3" ht="15.75" customHeight="1">
      <c r="A335" s="2" t="s">
        <v>365</v>
      </c>
      <c r="B335" s="31">
        <v>0.71507150715071499</v>
      </c>
    </row>
    <row r="336" spans="1:3" ht="15.75" customHeight="1">
      <c r="A336" s="2" t="s">
        <v>366</v>
      </c>
      <c r="B336" s="31">
        <v>1.301016932141932</v>
      </c>
    </row>
    <row r="337" spans="1:4" ht="15.75" customHeight="1">
      <c r="A337" s="2" t="s">
        <v>367</v>
      </c>
      <c r="B337" s="31">
        <v>0.96540000000000004</v>
      </c>
      <c r="D337">
        <f>454*0.33</f>
        <v>149.82</v>
      </c>
    </row>
    <row r="338" spans="1:4" ht="15.75" customHeight="1">
      <c r="A338" s="2" t="s">
        <v>368</v>
      </c>
      <c r="B338" s="31">
        <v>0.84738191006900609</v>
      </c>
    </row>
    <row r="339" spans="1:4" ht="15.75" customHeight="1">
      <c r="A339" s="2" t="s">
        <v>369</v>
      </c>
      <c r="B339" s="31">
        <v>0.86402688052688092</v>
      </c>
    </row>
    <row r="340" spans="1:4" ht="15.75" customHeight="1">
      <c r="A340" s="2" t="s">
        <v>370</v>
      </c>
      <c r="B340" s="31">
        <v>3.3069299999999995</v>
      </c>
    </row>
    <row r="341" spans="1:4" ht="15.75" customHeight="1">
      <c r="A341" s="2" t="s">
        <v>371</v>
      </c>
      <c r="B341" s="31">
        <v>0.23756547619047619</v>
      </c>
    </row>
    <row r="342" spans="1:4" ht="15.75" customHeight="1">
      <c r="A342" s="2" t="s">
        <v>372</v>
      </c>
      <c r="B342" s="31">
        <v>0.60506050605060502</v>
      </c>
    </row>
    <row r="343" spans="1:4" ht="15.75" customHeight="1">
      <c r="A343" s="2" t="s">
        <v>373</v>
      </c>
      <c r="B343" s="31">
        <v>0.22552255225522549</v>
      </c>
    </row>
    <row r="344" spans="1:4" ht="15.75" customHeight="1">
      <c r="A344" s="2" t="s">
        <v>374</v>
      </c>
      <c r="B344" s="31">
        <v>18.12</v>
      </c>
    </row>
    <row r="345" spans="1:4" ht="15.75" customHeight="1">
      <c r="A345" s="2" t="s">
        <v>375</v>
      </c>
      <c r="B345" s="31">
        <v>7.2110000000000012</v>
      </c>
    </row>
    <row r="346" spans="1:4" ht="15.75" customHeight="1">
      <c r="A346" s="2" t="s">
        <v>376</v>
      </c>
      <c r="B346" s="31">
        <v>6.013764837944664</v>
      </c>
    </row>
    <row r="347" spans="1:4" ht="15.75" customHeight="1">
      <c r="A347" s="2" t="s">
        <v>377</v>
      </c>
      <c r="B347" s="31">
        <v>8.8008800880088001E-2</v>
      </c>
    </row>
    <row r="348" spans="1:4" ht="15.75" customHeight="1">
      <c r="A348" s="2" t="s">
        <v>378</v>
      </c>
      <c r="B348" s="31"/>
    </row>
    <row r="349" spans="1:4" ht="15.75" customHeight="1">
      <c r="A349" s="2" t="s">
        <v>379</v>
      </c>
      <c r="B349" s="31"/>
    </row>
    <row r="350" spans="1:4" ht="15.75" customHeight="1">
      <c r="A350" s="2" t="s">
        <v>380</v>
      </c>
      <c r="B350" s="31"/>
    </row>
    <row r="351" spans="1:4" ht="15.75" customHeight="1">
      <c r="A351" s="2" t="s">
        <v>381</v>
      </c>
      <c r="B351" s="31"/>
    </row>
    <row r="352" spans="1:4" ht="15.75" customHeight="1">
      <c r="A352" s="2" t="s">
        <v>382</v>
      </c>
      <c r="B352" s="31"/>
    </row>
    <row r="353" spans="1:2" ht="15.75" customHeight="1">
      <c r="A353" s="2" t="s">
        <v>383</v>
      </c>
      <c r="B353" s="31">
        <v>6.7796666666666674</v>
      </c>
    </row>
    <row r="354" spans="1:2" ht="15.75" customHeight="1">
      <c r="A354" s="2" t="s">
        <v>384</v>
      </c>
      <c r="B354" s="31">
        <v>1.5181518151815181</v>
      </c>
    </row>
    <row r="355" spans="1:2" ht="15.75" customHeight="1">
      <c r="A355" s="2" t="s">
        <v>385</v>
      </c>
      <c r="B355" s="31">
        <v>0.24372760800521751</v>
      </c>
    </row>
    <row r="356" spans="1:2" ht="15.75" customHeight="1">
      <c r="A356" s="2" t="s">
        <v>386</v>
      </c>
      <c r="B356" s="31">
        <v>0.24495756071713659</v>
      </c>
    </row>
    <row r="357" spans="1:2" ht="15.75" customHeight="1">
      <c r="A357" s="2" t="s">
        <v>387</v>
      </c>
      <c r="B357" s="31">
        <v>0.22361149846757919</v>
      </c>
    </row>
    <row r="358" spans="1:2" ht="15.75" customHeight="1">
      <c r="A358" s="2" t="s">
        <v>388</v>
      </c>
      <c r="B358" s="31">
        <v>0.49346315899452264</v>
      </c>
    </row>
    <row r="359" spans="1:2" ht="15.75" customHeight="1">
      <c r="A359" s="2" t="s">
        <v>389</v>
      </c>
      <c r="B359" s="31">
        <v>0.61887640476321071</v>
      </c>
    </row>
    <row r="360" spans="1:2" ht="15.75" customHeight="1">
      <c r="A360" s="2" t="s">
        <v>390</v>
      </c>
      <c r="B360" s="31">
        <v>0.80750435501369566</v>
      </c>
    </row>
    <row r="361" spans="1:2" ht="15.75" customHeight="1">
      <c r="A361" s="2" t="s">
        <v>391</v>
      </c>
      <c r="B361" s="31">
        <v>0.57205720572057206</v>
      </c>
    </row>
    <row r="362" spans="1:2" ht="15.75" customHeight="1">
      <c r="A362" s="2" t="s">
        <v>392</v>
      </c>
      <c r="B362" s="31">
        <v>0.60709090909090913</v>
      </c>
    </row>
    <row r="363" spans="1:2" ht="15.75" customHeight="1">
      <c r="A363" s="2" t="s">
        <v>393</v>
      </c>
      <c r="B363" s="31">
        <v>0.38100827664399101</v>
      </c>
    </row>
    <row r="364" spans="1:2" ht="15.75" customHeight="1">
      <c r="A364" s="2" t="s">
        <v>394</v>
      </c>
      <c r="B364" s="31">
        <v>0.53934476981351986</v>
      </c>
    </row>
    <row r="365" spans="1:2" ht="15.75" customHeight="1">
      <c r="A365" s="2" t="s">
        <v>395</v>
      </c>
      <c r="B365" s="31">
        <v>0.63806380638063798</v>
      </c>
    </row>
    <row r="366" spans="1:2" ht="15.75" customHeight="1">
      <c r="A366" s="2" t="s">
        <v>396</v>
      </c>
      <c r="B366" s="31">
        <v>0.39253692818809099</v>
      </c>
    </row>
    <row r="367" spans="1:2" ht="15.75" customHeight="1">
      <c r="A367" s="2" t="s">
        <v>397</v>
      </c>
      <c r="B367" s="31">
        <v>0.39769638139638142</v>
      </c>
    </row>
    <row r="368" spans="1:2" ht="15.75" customHeight="1">
      <c r="A368" s="2" t="s">
        <v>398</v>
      </c>
      <c r="B368" s="31">
        <v>0.46911883641050311</v>
      </c>
    </row>
    <row r="369" spans="1:3" ht="15.75" customHeight="1">
      <c r="A369" s="2" t="s">
        <v>399</v>
      </c>
      <c r="B369" s="31">
        <v>0.37500586200000002</v>
      </c>
    </row>
    <row r="370" spans="1:3" ht="15.75" customHeight="1">
      <c r="A370" s="2" t="s">
        <v>400</v>
      </c>
      <c r="B370" s="31">
        <v>0.30584209309209331</v>
      </c>
    </row>
    <row r="371" spans="1:3" ht="15.75" customHeight="1">
      <c r="A371" s="2" t="s">
        <v>401</v>
      </c>
      <c r="B371" s="31">
        <v>0.27591680079180092</v>
      </c>
    </row>
    <row r="372" spans="1:3" ht="15.75" customHeight="1">
      <c r="A372" s="2" t="s">
        <v>402</v>
      </c>
      <c r="B372" s="31">
        <v>0.27127927627927628</v>
      </c>
    </row>
    <row r="373" spans="1:3" ht="15.75" customHeight="1">
      <c r="A373" s="2" t="s">
        <v>403</v>
      </c>
      <c r="B373" s="31">
        <v>0.44271985479797982</v>
      </c>
    </row>
    <row r="374" spans="1:3" ht="15.75" customHeight="1">
      <c r="A374" s="2" t="s">
        <v>404</v>
      </c>
      <c r="B374" s="31">
        <v>0.4588503566120124</v>
      </c>
    </row>
    <row r="375" spans="1:3" ht="15.75" customHeight="1">
      <c r="A375" s="2" t="s">
        <v>405</v>
      </c>
      <c r="B375" s="31">
        <v>0.35520833333333329</v>
      </c>
    </row>
    <row r="376" spans="1:3" ht="15.75" customHeight="1">
      <c r="A376" s="2" t="s">
        <v>406</v>
      </c>
      <c r="B376" s="31">
        <v>0.39221559288664548</v>
      </c>
    </row>
    <row r="377" spans="1:3" ht="15.75" customHeight="1">
      <c r="A377" s="2" t="s">
        <v>407</v>
      </c>
      <c r="B377" s="31">
        <v>0.40336531986531982</v>
      </c>
    </row>
    <row r="378" spans="1:3" ht="15.75" customHeight="1">
      <c r="A378" s="2" t="s">
        <v>408</v>
      </c>
      <c r="B378" s="31">
        <v>0.60506050605060502</v>
      </c>
    </row>
    <row r="379" spans="1:3" ht="15.75" customHeight="1">
      <c r="A379" s="2" t="s">
        <v>409</v>
      </c>
      <c r="B379" s="31">
        <v>0.57168902814357359</v>
      </c>
    </row>
    <row r="380" spans="1:3" ht="15.75" customHeight="1">
      <c r="A380" s="2" t="s">
        <v>410</v>
      </c>
      <c r="B380" s="31">
        <v>0.44393668200486391</v>
      </c>
    </row>
    <row r="381" spans="1:3" ht="15.75" customHeight="1">
      <c r="A381" s="2" t="s">
        <v>411</v>
      </c>
      <c r="B381" s="31">
        <v>0.46681545561717969</v>
      </c>
    </row>
    <row r="382" spans="1:3" ht="15.75" customHeight="1">
      <c r="A382" s="2" t="s">
        <v>412</v>
      </c>
      <c r="B382" s="31"/>
    </row>
    <row r="383" spans="1:3" ht="15.75" customHeight="1">
      <c r="A383" s="2" t="s">
        <v>413</v>
      </c>
      <c r="B383" s="31">
        <v>0.09</v>
      </c>
      <c r="C383" s="5" t="s">
        <v>414</v>
      </c>
    </row>
    <row r="384" spans="1:3" ht="15.75" customHeight="1">
      <c r="A384" s="2" t="s">
        <v>415</v>
      </c>
      <c r="B384" s="31">
        <v>0.09</v>
      </c>
    </row>
    <row r="385" spans="1:3" ht="15.75" customHeight="1">
      <c r="A385" s="2" t="s">
        <v>416</v>
      </c>
      <c r="B385" s="31">
        <v>0.09</v>
      </c>
      <c r="C385" s="5" t="s">
        <v>417</v>
      </c>
    </row>
    <row r="386" spans="1:3" ht="15.75" customHeight="1">
      <c r="A386" s="2" t="s">
        <v>418</v>
      </c>
      <c r="B386" s="31">
        <v>0.09</v>
      </c>
    </row>
    <row r="387" spans="1:3" ht="15.75" customHeight="1">
      <c r="A387" s="2" t="s">
        <v>419</v>
      </c>
      <c r="B387" s="31">
        <v>0.09</v>
      </c>
      <c r="C387" s="5" t="s">
        <v>420</v>
      </c>
    </row>
    <row r="388" spans="1:3" ht="15.75" customHeight="1">
      <c r="A388" s="2" t="s">
        <v>421</v>
      </c>
      <c r="B388" s="31">
        <v>0.09</v>
      </c>
    </row>
    <row r="389" spans="1:3" ht="15.75" customHeight="1">
      <c r="A389" s="2" t="s">
        <v>422</v>
      </c>
      <c r="B389" s="31">
        <v>4.8499999999999996</v>
      </c>
      <c r="C389" s="5" t="s">
        <v>423</v>
      </c>
    </row>
    <row r="390" spans="1:3" ht="15.75" customHeight="1">
      <c r="A390" s="2" t="s">
        <v>424</v>
      </c>
      <c r="B390" s="31">
        <v>5.22</v>
      </c>
      <c r="C390" s="5" t="s">
        <v>425</v>
      </c>
    </row>
    <row r="391" spans="1:3" ht="15.75" customHeight="1">
      <c r="A391" s="2" t="s">
        <v>426</v>
      </c>
      <c r="B391" s="31">
        <v>0.57205720572057206</v>
      </c>
    </row>
    <row r="392" spans="1:3" ht="15.75" customHeight="1">
      <c r="A392" s="2" t="s">
        <v>427</v>
      </c>
      <c r="B392" s="31">
        <v>0.41999656179018602</v>
      </c>
    </row>
    <row r="393" spans="1:3" ht="15.75" customHeight="1">
      <c r="A393" s="2" t="s">
        <v>428</v>
      </c>
      <c r="B393" s="31">
        <v>0.17142857142857143</v>
      </c>
    </row>
    <row r="394" spans="1:3" ht="15.75" customHeight="1">
      <c r="A394" s="2" t="s">
        <v>429</v>
      </c>
      <c r="B394" s="31">
        <v>1</v>
      </c>
      <c r="C394" s="5" t="s">
        <v>430</v>
      </c>
    </row>
    <row r="395" spans="1:3" ht="15.75" customHeight="1">
      <c r="A395" s="2" t="s">
        <v>431</v>
      </c>
      <c r="B395" s="31">
        <v>2.5</v>
      </c>
    </row>
    <row r="396" spans="1:3" ht="15.75" customHeight="1">
      <c r="A396" s="2" t="s">
        <v>432</v>
      </c>
      <c r="B396" s="31">
        <v>10</v>
      </c>
    </row>
    <row r="397" spans="1:3" ht="15.75" customHeight="1">
      <c r="A397" s="2" t="s">
        <v>433</v>
      </c>
      <c r="B397" s="31">
        <v>10</v>
      </c>
    </row>
    <row r="398" spans="1:3" ht="15.75" customHeight="1">
      <c r="A398" s="2" t="s">
        <v>434</v>
      </c>
      <c r="B398" s="31">
        <v>0.59950370714217704</v>
      </c>
    </row>
    <row r="399" spans="1:3" ht="15.75" customHeight="1">
      <c r="A399" s="2" t="s">
        <v>435</v>
      </c>
      <c r="B399" s="31">
        <v>0.46377289377289382</v>
      </c>
    </row>
    <row r="400" spans="1:3" ht="15.75" customHeight="1">
      <c r="A400" s="2" t="s">
        <v>436</v>
      </c>
      <c r="B400" s="31">
        <v>0.46377289377289382</v>
      </c>
    </row>
    <row r="401" spans="1:2" ht="15.75" customHeight="1">
      <c r="A401" s="2" t="s">
        <v>437</v>
      </c>
      <c r="B401" s="31">
        <v>0.46377289377289382</v>
      </c>
    </row>
    <row r="402" spans="1:2" ht="15.75" customHeight="1">
      <c r="A402" s="2" t="s">
        <v>438</v>
      </c>
      <c r="B402" s="31">
        <v>3.3128471666574679</v>
      </c>
    </row>
    <row r="403" spans="1:2" ht="15.75" customHeight="1">
      <c r="A403" s="2" t="s">
        <v>439</v>
      </c>
      <c r="B403" s="31"/>
    </row>
    <row r="404" spans="1:2" ht="15.75" customHeight="1">
      <c r="A404" s="2" t="s">
        <v>440</v>
      </c>
      <c r="B404" s="31"/>
    </row>
    <row r="405" spans="1:2" ht="15.75" customHeight="1">
      <c r="A405" s="2" t="s">
        <v>441</v>
      </c>
      <c r="B405" s="31">
        <v>0.79207920792079201</v>
      </c>
    </row>
    <row r="406" spans="1:2" ht="15.75" customHeight="1">
      <c r="A406" s="2" t="s">
        <v>442</v>
      </c>
      <c r="B406" s="31">
        <v>8.6900000000000005E-2</v>
      </c>
    </row>
    <row r="407" spans="1:2" ht="15.75" customHeight="1">
      <c r="A407" s="2" t="s">
        <v>443</v>
      </c>
      <c r="B407" s="31">
        <v>0.28999999999999998</v>
      </c>
    </row>
    <row r="408" spans="1:2" ht="15.75" customHeight="1">
      <c r="A408" s="2" t="s">
        <v>444</v>
      </c>
      <c r="B408" s="31">
        <v>3.7846590176060348</v>
      </c>
    </row>
    <row r="409" spans="1:2" ht="15.75" customHeight="1">
      <c r="A409" s="2" t="s">
        <v>445</v>
      </c>
      <c r="B409" s="31">
        <v>0.29752437260933412</v>
      </c>
    </row>
    <row r="410" spans="1:2" ht="15.75" customHeight="1">
      <c r="A410" s="2" t="s">
        <v>446</v>
      </c>
      <c r="B410" s="31">
        <v>0.38631781169768181</v>
      </c>
    </row>
    <row r="411" spans="1:2" ht="15.75" customHeight="1">
      <c r="A411" s="2" t="s">
        <v>447</v>
      </c>
      <c r="B411" s="31">
        <v>0.35776809426528527</v>
      </c>
    </row>
    <row r="412" spans="1:2" ht="15.75" customHeight="1">
      <c r="A412" s="2" t="s">
        <v>448</v>
      </c>
      <c r="B412" s="31">
        <v>2.6609320542402042</v>
      </c>
    </row>
    <row r="413" spans="1:2" ht="15.75" customHeight="1">
      <c r="A413" s="2" t="s">
        <v>449</v>
      </c>
      <c r="B413" s="31">
        <v>0.30689395957577781</v>
      </c>
    </row>
    <row r="414" spans="1:2" ht="15.75" customHeight="1">
      <c r="A414" s="2" t="s">
        <v>450</v>
      </c>
      <c r="B414" s="31">
        <v>0.29641537268287271</v>
      </c>
    </row>
    <row r="415" spans="1:2" ht="15.75" customHeight="1">
      <c r="A415" s="2" t="s">
        <v>451</v>
      </c>
      <c r="B415" s="31">
        <v>1.209204634901683</v>
      </c>
    </row>
    <row r="416" spans="1:2" ht="15.75" customHeight="1">
      <c r="A416" s="2" t="s">
        <v>452</v>
      </c>
      <c r="B416" s="31">
        <v>1.8595999999999999</v>
      </c>
    </row>
    <row r="417" spans="1:2" ht="15.75" customHeight="1">
      <c r="A417" s="2" t="s">
        <v>453</v>
      </c>
      <c r="B417" s="31">
        <v>1.8372622455687388</v>
      </c>
    </row>
    <row r="418" spans="1:2" ht="15.75" customHeight="1">
      <c r="A418" s="2" t="s">
        <v>454</v>
      </c>
      <c r="B418" s="31">
        <v>2.4277879952245121</v>
      </c>
    </row>
    <row r="419" spans="1:2" ht="15.75" customHeight="1">
      <c r="A419" s="2" t="s">
        <v>455</v>
      </c>
      <c r="B419" s="31">
        <v>2.4955893514433658</v>
      </c>
    </row>
    <row r="420" spans="1:2" ht="15.75" customHeight="1">
      <c r="A420" s="2" t="s">
        <v>456</v>
      </c>
      <c r="B420" s="31">
        <v>1.8595999999999999</v>
      </c>
    </row>
    <row r="421" spans="1:2" ht="15.75" customHeight="1">
      <c r="A421" s="2" t="s">
        <v>457</v>
      </c>
      <c r="B421" s="31">
        <v>3.974601851851852</v>
      </c>
    </row>
    <row r="422" spans="1:2" ht="15.75" customHeight="1">
      <c r="A422" s="2" t="s">
        <v>458</v>
      </c>
      <c r="B422" s="31">
        <v>0.68833333333333335</v>
      </c>
    </row>
    <row r="423" spans="1:2" ht="15.75" customHeight="1">
      <c r="A423" s="2" t="s">
        <v>459</v>
      </c>
      <c r="B423" s="31"/>
    </row>
    <row r="424" spans="1:2" ht="15.75" customHeight="1">
      <c r="A424" s="2" t="s">
        <v>460</v>
      </c>
      <c r="B424" s="31">
        <v>4.5974275365068857</v>
      </c>
    </row>
    <row r="425" spans="1:2" ht="15.75" customHeight="1">
      <c r="A425" s="2" t="s">
        <v>461</v>
      </c>
      <c r="B425" s="31">
        <v>7.0356454496208807</v>
      </c>
    </row>
    <row r="426" spans="1:2" ht="15.75" customHeight="1">
      <c r="A426" s="2" t="s">
        <v>462</v>
      </c>
      <c r="B426" s="31">
        <v>1.4866302572746481</v>
      </c>
    </row>
    <row r="427" spans="1:2" ht="15.75" customHeight="1">
      <c r="A427" s="2" t="s">
        <v>463</v>
      </c>
      <c r="B427" s="31">
        <v>2.5</v>
      </c>
    </row>
    <row r="428" spans="1:2" ht="15.75" customHeight="1">
      <c r="A428" s="2" t="s">
        <v>464</v>
      </c>
      <c r="B428" s="31">
        <v>0.1296835294117647</v>
      </c>
    </row>
    <row r="429" spans="1:2" ht="15.75" customHeight="1">
      <c r="A429" s="2" t="s">
        <v>465</v>
      </c>
      <c r="B429" s="31">
        <v>3.3069299999999995</v>
      </c>
    </row>
    <row r="430" spans="1:2" ht="15.75" customHeight="1">
      <c r="A430" s="2" t="s">
        <v>466</v>
      </c>
      <c r="B430" s="31">
        <v>0.88184799999999997</v>
      </c>
    </row>
    <row r="431" spans="1:2" ht="15.75" customHeight="1">
      <c r="A431" s="2" t="s">
        <v>467</v>
      </c>
      <c r="B431" s="31">
        <v>0.88184799999999997</v>
      </c>
    </row>
    <row r="432" spans="1:2" ht="15.75" customHeight="1">
      <c r="A432" s="2" t="s">
        <v>468</v>
      </c>
      <c r="B432" s="31">
        <v>0.29036100507679458</v>
      </c>
    </row>
    <row r="433" spans="1:3" ht="15.75" customHeight="1">
      <c r="A433" s="2" t="s">
        <v>469</v>
      </c>
      <c r="B433" s="31">
        <v>2.5</v>
      </c>
      <c r="C433" s="5" t="s">
        <v>470</v>
      </c>
    </row>
    <row r="434" spans="1:3" ht="15.75" customHeight="1">
      <c r="A434" s="2" t="s">
        <v>471</v>
      </c>
      <c r="B434" s="31">
        <v>5.92</v>
      </c>
    </row>
    <row r="435" spans="1:3" ht="15.75" customHeight="1">
      <c r="A435" s="2" t="s">
        <v>472</v>
      </c>
      <c r="B435" s="31">
        <v>0.69</v>
      </c>
      <c r="C435" s="5" t="s">
        <v>473</v>
      </c>
    </row>
    <row r="436" spans="1:3" ht="15.75" customHeight="1">
      <c r="A436" s="2" t="s">
        <v>474</v>
      </c>
      <c r="B436" s="31">
        <v>1.3</v>
      </c>
      <c r="C436" s="9" t="s">
        <v>475</v>
      </c>
    </row>
    <row r="437" spans="1:3" ht="15.75" customHeight="1">
      <c r="A437" s="2" t="s">
        <v>476</v>
      </c>
      <c r="B437" s="31">
        <v>0.2</v>
      </c>
    </row>
    <row r="438" spans="1:3" ht="15.75" customHeight="1">
      <c r="A438" s="2" t="s">
        <v>477</v>
      </c>
      <c r="B438" s="31">
        <v>1.5</v>
      </c>
    </row>
    <row r="439" spans="1:3" ht="15.75" customHeight="1">
      <c r="A439" s="2" t="s">
        <v>478</v>
      </c>
      <c r="B439" s="31">
        <v>0.38609181109895402</v>
      </c>
    </row>
    <row r="440" spans="1:3" ht="15.75" customHeight="1">
      <c r="A440" s="2" t="s">
        <v>479</v>
      </c>
      <c r="B440" s="31">
        <v>0.36664490231990238</v>
      </c>
    </row>
    <row r="441" spans="1:3" ht="15.75" customHeight="1">
      <c r="A441" s="2" t="s">
        <v>480</v>
      </c>
      <c r="B441" s="31">
        <v>6.24</v>
      </c>
    </row>
    <row r="442" spans="1:3" ht="15.75" customHeight="1">
      <c r="A442" s="2" t="s">
        <v>481</v>
      </c>
      <c r="B442" s="31">
        <v>0.13</v>
      </c>
      <c r="C442" s="8" t="s">
        <v>482</v>
      </c>
    </row>
    <row r="443" spans="1:3" ht="15.75" customHeight="1">
      <c r="A443" s="2" t="s">
        <v>483</v>
      </c>
      <c r="B443" s="31">
        <v>6.24</v>
      </c>
    </row>
    <row r="444" spans="1:3" ht="15.75" customHeight="1">
      <c r="A444" s="2" t="s">
        <v>484</v>
      </c>
      <c r="B444" s="31">
        <v>6.24</v>
      </c>
    </row>
    <row r="445" spans="1:3" ht="15.75" customHeight="1">
      <c r="A445" s="2" t="s">
        <v>485</v>
      </c>
      <c r="B445" s="31">
        <v>1.1499999999999999</v>
      </c>
    </row>
    <row r="446" spans="1:3" ht="15.75" customHeight="1">
      <c r="A446" s="2" t="s">
        <v>486</v>
      </c>
      <c r="B446" s="31">
        <v>0.55139182750000004</v>
      </c>
    </row>
    <row r="447" spans="1:3" ht="15.75" customHeight="1">
      <c r="A447" s="2" t="s">
        <v>487</v>
      </c>
      <c r="B447" s="31">
        <v>0.60566550302530253</v>
      </c>
    </row>
    <row r="448" spans="1:3" ht="15.75" customHeight="1">
      <c r="A448" s="2" t="s">
        <v>488</v>
      </c>
      <c r="B448" s="31">
        <v>15.35</v>
      </c>
    </row>
    <row r="449" spans="1:3" ht="15.75" customHeight="1">
      <c r="A449" s="2" t="s">
        <v>489</v>
      </c>
      <c r="B449" s="31">
        <v>2.89</v>
      </c>
      <c r="C449" s="5" t="s">
        <v>490</v>
      </c>
    </row>
    <row r="450" spans="1:3" ht="15.75" customHeight="1">
      <c r="A450" s="2" t="s">
        <v>491</v>
      </c>
      <c r="B450" s="31">
        <v>5</v>
      </c>
    </row>
    <row r="451" spans="1:3" ht="15.75" customHeight="1">
      <c r="A451" s="2" t="s">
        <v>492</v>
      </c>
      <c r="B451" s="31">
        <v>15.432339999999998</v>
      </c>
    </row>
    <row r="452" spans="1:3" ht="15.75" customHeight="1">
      <c r="A452" s="2" t="s">
        <v>493</v>
      </c>
      <c r="B452" s="31">
        <v>0.71507150715071499</v>
      </c>
    </row>
    <row r="453" spans="1:3" ht="15.75" customHeight="1">
      <c r="A453" s="2" t="s">
        <v>494</v>
      </c>
      <c r="B453" s="31">
        <v>0.99789267214966504</v>
      </c>
    </row>
    <row r="454" spans="1:3" ht="15.75" customHeight="1">
      <c r="A454" s="2" t="s">
        <v>495</v>
      </c>
      <c r="B454" s="31">
        <v>0.60506050605060502</v>
      </c>
    </row>
    <row r="455" spans="1:3" ht="15.75" customHeight="1">
      <c r="A455" s="2" t="s">
        <v>496</v>
      </c>
      <c r="B455" s="31">
        <v>0.44407345714285712</v>
      </c>
    </row>
    <row r="456" spans="1:3" ht="15.75" customHeight="1">
      <c r="A456" s="2" t="s">
        <v>497</v>
      </c>
      <c r="B456" s="31">
        <v>0.38667958401751512</v>
      </c>
    </row>
    <row r="457" spans="1:3" ht="15.75" customHeight="1">
      <c r="A457" s="2" t="s">
        <v>498</v>
      </c>
      <c r="B457" s="31">
        <v>0.54343314490877781</v>
      </c>
    </row>
    <row r="458" spans="1:3" ht="15.75" customHeight="1">
      <c r="A458" s="2" t="s">
        <v>499</v>
      </c>
      <c r="B458" s="31">
        <v>0.9</v>
      </c>
      <c r="C458" s="5" t="s">
        <v>500</v>
      </c>
    </row>
    <row r="459" spans="1:3" ht="15.75" customHeight="1">
      <c r="A459" s="2" t="s">
        <v>501</v>
      </c>
      <c r="B459" s="31">
        <v>1.677083333333333</v>
      </c>
    </row>
    <row r="460" spans="1:3" ht="15.75" customHeight="1">
      <c r="A460" s="2" t="s">
        <v>502</v>
      </c>
      <c r="B460" s="31">
        <v>2.9100983999999999</v>
      </c>
    </row>
    <row r="461" spans="1:3" ht="15.75" customHeight="1">
      <c r="A461" s="2" t="s">
        <v>503</v>
      </c>
      <c r="B461" s="31">
        <v>0.5642004438181617</v>
      </c>
    </row>
    <row r="462" spans="1:3" ht="15.75" customHeight="1">
      <c r="A462" s="2" t="s">
        <v>504</v>
      </c>
      <c r="B462" s="31">
        <v>0.28536309523809528</v>
      </c>
    </row>
    <row r="463" spans="1:3" ht="15.75" customHeight="1">
      <c r="A463" s="2" t="s">
        <v>505</v>
      </c>
      <c r="B463" s="31">
        <v>6.24</v>
      </c>
    </row>
    <row r="464" spans="1:3" ht="15.75" customHeight="1">
      <c r="A464" s="2" t="s">
        <v>506</v>
      </c>
      <c r="B464" s="31">
        <v>0.26455440000000002</v>
      </c>
    </row>
    <row r="465" spans="1:4" ht="15.75" customHeight="1">
      <c r="A465" s="2" t="s">
        <v>507</v>
      </c>
      <c r="B465" s="31">
        <v>0.1</v>
      </c>
    </row>
    <row r="466" spans="1:4" ht="15.75" customHeight="1">
      <c r="A466" s="2" t="s">
        <v>508</v>
      </c>
      <c r="B466" s="31">
        <v>0.66137566137566139</v>
      </c>
    </row>
    <row r="467" spans="1:4" ht="15.75" customHeight="1">
      <c r="A467" s="2" t="s">
        <v>509</v>
      </c>
      <c r="B467" s="31">
        <v>0.41934995241521128</v>
      </c>
    </row>
    <row r="468" spans="1:4" ht="15.75" customHeight="1">
      <c r="A468" s="2" t="s">
        <v>510</v>
      </c>
      <c r="B468" s="31">
        <v>0.50909090909090915</v>
      </c>
    </row>
    <row r="469" spans="1:4" ht="15.75" customHeight="1">
      <c r="A469" s="2" t="s">
        <v>511</v>
      </c>
      <c r="B469" s="31">
        <v>0.52286363636363631</v>
      </c>
    </row>
    <row r="470" spans="1:4" ht="15.75" customHeight="1">
      <c r="A470" s="2" t="s">
        <v>512</v>
      </c>
      <c r="B470" s="31">
        <v>1.1023099999999999</v>
      </c>
    </row>
    <row r="471" spans="1:4" ht="15.75" customHeight="1">
      <c r="A471" s="2" t="s">
        <v>513</v>
      </c>
      <c r="B471" s="31">
        <v>1.8193999999999999</v>
      </c>
    </row>
    <row r="472" spans="1:4" ht="15.75" customHeight="1">
      <c r="A472" s="2" t="s">
        <v>514</v>
      </c>
      <c r="B472" s="31">
        <v>1.871085514324645</v>
      </c>
    </row>
    <row r="473" spans="1:4" ht="15.75" customHeight="1">
      <c r="A473" s="2" t="s">
        <v>515</v>
      </c>
      <c r="B473" s="31">
        <v>1.8996518879443409</v>
      </c>
    </row>
    <row r="474" spans="1:4" ht="15.75" customHeight="1">
      <c r="A474" s="2" t="s">
        <v>516</v>
      </c>
      <c r="B474" s="31">
        <v>2.5453493565258269</v>
      </c>
    </row>
    <row r="475" spans="1:4" ht="15.75" customHeight="1">
      <c r="A475" s="2" t="s">
        <v>517</v>
      </c>
      <c r="B475" s="31">
        <v>0.57205720572057206</v>
      </c>
    </row>
    <row r="476" spans="1:4" ht="15.75" customHeight="1">
      <c r="A476" s="2" t="s">
        <v>518</v>
      </c>
      <c r="B476" s="31">
        <v>1.3227719999999998</v>
      </c>
    </row>
    <row r="477" spans="1:4" ht="15.75" customHeight="1">
      <c r="A477" s="2" t="s">
        <v>519</v>
      </c>
      <c r="B477" s="31">
        <v>7</v>
      </c>
    </row>
    <row r="478" spans="1:4" ht="15.75" customHeight="1">
      <c r="A478" s="2" t="s">
        <v>520</v>
      </c>
      <c r="B478" s="31">
        <v>7</v>
      </c>
    </row>
    <row r="479" spans="1:4" ht="15.75" customHeight="1">
      <c r="A479" s="2" t="s">
        <v>521</v>
      </c>
      <c r="B479" s="31">
        <v>2.11</v>
      </c>
      <c r="C479" s="5" t="s">
        <v>522</v>
      </c>
    </row>
    <row r="480" spans="1:4" ht="15.75" customHeight="1">
      <c r="A480" s="2" t="s">
        <v>523</v>
      </c>
      <c r="B480" s="31">
        <v>5</v>
      </c>
      <c r="C480" s="5" t="s">
        <v>524</v>
      </c>
      <c r="D480" s="14"/>
    </row>
    <row r="481" spans="1:3" ht="15.75" customHeight="1">
      <c r="A481" s="2" t="s">
        <v>525</v>
      </c>
      <c r="B481" s="31">
        <v>3</v>
      </c>
      <c r="C481" s="5" t="s">
        <v>526</v>
      </c>
    </row>
    <row r="482" spans="1:3" ht="15.75" customHeight="1">
      <c r="A482" s="2" t="s">
        <v>527</v>
      </c>
      <c r="B482" s="31">
        <v>0.8</v>
      </c>
      <c r="C482" s="5" t="s">
        <v>526</v>
      </c>
    </row>
    <row r="483" spans="1:3" ht="15.75" customHeight="1">
      <c r="A483" s="2" t="s">
        <v>528</v>
      </c>
      <c r="B483" s="31">
        <v>1.5</v>
      </c>
      <c r="C483" s="5" t="s">
        <v>529</v>
      </c>
    </row>
    <row r="484" spans="1:3" ht="15.75" customHeight="1">
      <c r="A484" s="2" t="s">
        <v>530</v>
      </c>
      <c r="B484" s="31">
        <v>0.46389321563210462</v>
      </c>
    </row>
    <row r="485" spans="1:3" ht="15.75" customHeight="1">
      <c r="A485" s="2" t="s">
        <v>531</v>
      </c>
      <c r="B485" s="31">
        <v>0.27597427408702407</v>
      </c>
    </row>
    <row r="486" spans="1:3" ht="15.75" customHeight="1">
      <c r="A486" s="2" t="s">
        <v>532</v>
      </c>
      <c r="B486" s="31">
        <v>0.33884505268967052</v>
      </c>
    </row>
    <row r="487" spans="1:3" ht="15.75" customHeight="1">
      <c r="A487" s="2" t="s">
        <v>533</v>
      </c>
      <c r="B487" s="31">
        <v>1.375</v>
      </c>
    </row>
    <row r="488" spans="1:3" ht="15.75" customHeight="1">
      <c r="A488" s="2" t="s">
        <v>534</v>
      </c>
      <c r="B488" s="31">
        <v>0.30030431370729882</v>
      </c>
    </row>
    <row r="489" spans="1:3" ht="15.75" customHeight="1">
      <c r="A489" s="2" t="s">
        <v>535</v>
      </c>
      <c r="B489" s="31">
        <v>0.38503850385038502</v>
      </c>
    </row>
    <row r="490" spans="1:3" ht="15.75" customHeight="1">
      <c r="A490" s="2" t="s">
        <v>536</v>
      </c>
      <c r="B490" s="31">
        <v>0.2476666666666667</v>
      </c>
    </row>
    <row r="491" spans="1:3" ht="15.75" customHeight="1">
      <c r="A491" s="2" t="s">
        <v>537</v>
      </c>
      <c r="B491" s="31">
        <v>0.49504950495049505</v>
      </c>
    </row>
    <row r="492" spans="1:3" ht="15.75" customHeight="1">
      <c r="A492" s="2" t="s">
        <v>538</v>
      </c>
      <c r="B492" s="31">
        <v>1.4950495049504899</v>
      </c>
      <c r="C492" s="5" t="s">
        <v>500</v>
      </c>
    </row>
    <row r="493" spans="1:3" ht="15.75" customHeight="1">
      <c r="B493" s="32"/>
    </row>
    <row r="494" spans="1:3" ht="15.75" customHeight="1">
      <c r="B494" s="32"/>
    </row>
    <row r="495" spans="1:3" ht="15.75" customHeight="1">
      <c r="B495" s="32"/>
    </row>
    <row r="496" spans="1:3" ht="15.75" customHeight="1">
      <c r="B496" s="32"/>
    </row>
    <row r="497" spans="2:2" ht="15.75" customHeight="1">
      <c r="B497" s="32"/>
    </row>
    <row r="498" spans="2:2" ht="15.75" customHeight="1">
      <c r="B498" s="32"/>
    </row>
    <row r="499" spans="2:2" ht="15.75" customHeight="1">
      <c r="B499" s="32"/>
    </row>
    <row r="500" spans="2:2" ht="15.75" customHeight="1">
      <c r="B500" s="32"/>
    </row>
    <row r="501" spans="2:2" ht="15.75" customHeight="1">
      <c r="B501" s="32"/>
    </row>
    <row r="502" spans="2:2" ht="15.75" customHeight="1">
      <c r="B502" s="32"/>
    </row>
    <row r="503" spans="2:2" ht="15.75" customHeight="1">
      <c r="B503" s="32"/>
    </row>
    <row r="504" spans="2:2" ht="15.75" customHeight="1">
      <c r="B504" s="32"/>
    </row>
    <row r="505" spans="2:2" ht="15.75" customHeight="1">
      <c r="B505" s="32"/>
    </row>
    <row r="506" spans="2:2" ht="15.75" customHeight="1">
      <c r="B506" s="32"/>
    </row>
    <row r="507" spans="2:2" ht="15.75" customHeight="1">
      <c r="B507" s="32"/>
    </row>
    <row r="508" spans="2:2" ht="15.75" customHeight="1">
      <c r="B508" s="32"/>
    </row>
    <row r="509" spans="2:2" ht="15.75" customHeight="1">
      <c r="B509" s="32"/>
    </row>
    <row r="510" spans="2:2" ht="15.75" customHeight="1">
      <c r="B510" s="32"/>
    </row>
    <row r="511" spans="2:2" ht="15.75" customHeight="1">
      <c r="B511" s="32"/>
    </row>
    <row r="512" spans="2:2" ht="15.75" customHeight="1">
      <c r="B512" s="32"/>
    </row>
    <row r="513" spans="2:2" ht="15.75" customHeight="1">
      <c r="B513" s="32"/>
    </row>
    <row r="514" spans="2:2" ht="15.75" customHeight="1">
      <c r="B514" s="32"/>
    </row>
    <row r="515" spans="2:2" ht="15.75" customHeight="1">
      <c r="B515" s="32"/>
    </row>
    <row r="516" spans="2:2" ht="15.75" customHeight="1">
      <c r="B516" s="32"/>
    </row>
    <row r="517" spans="2:2" ht="15.75" customHeight="1">
      <c r="B517" s="32"/>
    </row>
    <row r="518" spans="2:2" ht="15.75" customHeight="1">
      <c r="B518" s="32"/>
    </row>
    <row r="519" spans="2:2" ht="15.75" customHeight="1">
      <c r="B519" s="32"/>
    </row>
    <row r="520" spans="2:2" ht="15.75" customHeight="1">
      <c r="B520" s="32"/>
    </row>
    <row r="521" spans="2:2" ht="15.75" customHeight="1">
      <c r="B521" s="32"/>
    </row>
    <row r="522" spans="2:2" ht="15.75" customHeight="1">
      <c r="B522" s="32"/>
    </row>
    <row r="523" spans="2:2" ht="15.75" customHeight="1">
      <c r="B523" s="32"/>
    </row>
    <row r="524" spans="2:2" ht="15.75" customHeight="1">
      <c r="B524" s="32"/>
    </row>
    <row r="525" spans="2:2" ht="15.75" customHeight="1">
      <c r="B525" s="32"/>
    </row>
    <row r="526" spans="2:2" ht="15.75" customHeight="1">
      <c r="B526" s="32"/>
    </row>
    <row r="527" spans="2:2" ht="15.75" customHeight="1">
      <c r="B527" s="32"/>
    </row>
    <row r="528" spans="2:2" ht="15.75" customHeight="1">
      <c r="B528" s="32"/>
    </row>
    <row r="529" spans="2:2" ht="15.75" customHeight="1">
      <c r="B529" s="32"/>
    </row>
    <row r="530" spans="2:2" ht="15.75" customHeight="1">
      <c r="B530" s="32"/>
    </row>
    <row r="531" spans="2:2" ht="15.75" customHeight="1">
      <c r="B531" s="32"/>
    </row>
    <row r="532" spans="2:2" ht="15.75" customHeight="1">
      <c r="B532" s="32"/>
    </row>
    <row r="533" spans="2:2" ht="15.75" customHeight="1">
      <c r="B533" s="32"/>
    </row>
    <row r="534" spans="2:2" ht="15.75" customHeight="1">
      <c r="B534" s="32"/>
    </row>
    <row r="535" spans="2:2" ht="15.75" customHeight="1">
      <c r="B535" s="32"/>
    </row>
    <row r="536" spans="2:2" ht="15.75" customHeight="1">
      <c r="B536" s="32"/>
    </row>
    <row r="537" spans="2:2" ht="15.75" customHeight="1">
      <c r="B537" s="32"/>
    </row>
    <row r="538" spans="2:2" ht="15.75" customHeight="1">
      <c r="B538" s="32"/>
    </row>
    <row r="539" spans="2:2" ht="15.75" customHeight="1">
      <c r="B539" s="32"/>
    </row>
    <row r="540" spans="2:2" ht="15.75" customHeight="1">
      <c r="B540" s="32"/>
    </row>
    <row r="541" spans="2:2" ht="15.75" customHeight="1">
      <c r="B541" s="32"/>
    </row>
    <row r="542" spans="2:2" ht="15.75" customHeight="1">
      <c r="B542" s="32"/>
    </row>
    <row r="543" spans="2:2" ht="15.75" customHeight="1">
      <c r="B543" s="32"/>
    </row>
    <row r="544" spans="2:2" ht="15.75" customHeight="1">
      <c r="B544" s="32"/>
    </row>
    <row r="545" spans="2:2" ht="15.75" customHeight="1">
      <c r="B545" s="32"/>
    </row>
    <row r="546" spans="2:2" ht="15.75" customHeight="1">
      <c r="B546" s="32"/>
    </row>
    <row r="547" spans="2:2" ht="15.75" customHeight="1">
      <c r="B547" s="32"/>
    </row>
    <row r="548" spans="2:2" ht="15.75" customHeight="1">
      <c r="B548" s="32"/>
    </row>
    <row r="549" spans="2:2" ht="15.75" customHeight="1">
      <c r="B549" s="32"/>
    </row>
    <row r="550" spans="2:2" ht="15.75" customHeight="1">
      <c r="B550" s="32"/>
    </row>
    <row r="551" spans="2:2" ht="15.75" customHeight="1">
      <c r="B551" s="32"/>
    </row>
    <row r="552" spans="2:2" ht="15.75" customHeight="1">
      <c r="B552" s="32"/>
    </row>
    <row r="553" spans="2:2" ht="15.75" customHeight="1">
      <c r="B553" s="32"/>
    </row>
    <row r="554" spans="2:2" ht="15.75" customHeight="1">
      <c r="B554" s="32"/>
    </row>
    <row r="555" spans="2:2" ht="15.75" customHeight="1">
      <c r="B555" s="32"/>
    </row>
    <row r="556" spans="2:2" ht="15.75" customHeight="1">
      <c r="B556" s="32"/>
    </row>
    <row r="557" spans="2:2" ht="15.75" customHeight="1">
      <c r="B557" s="32"/>
    </row>
    <row r="558" spans="2:2" ht="15.75" customHeight="1">
      <c r="B558" s="32"/>
    </row>
    <row r="559" spans="2:2" ht="15.75" customHeight="1">
      <c r="B559" s="32"/>
    </row>
    <row r="560" spans="2:2" ht="15.75" customHeight="1">
      <c r="B560" s="32"/>
    </row>
    <row r="561" spans="2:2" ht="15.75" customHeight="1">
      <c r="B561" s="32"/>
    </row>
    <row r="562" spans="2:2" ht="15.75" customHeight="1">
      <c r="B562" s="32"/>
    </row>
    <row r="563" spans="2:2" ht="15.75" customHeight="1">
      <c r="B563" s="32"/>
    </row>
    <row r="564" spans="2:2" ht="15.75" customHeight="1">
      <c r="B564" s="32"/>
    </row>
    <row r="565" spans="2:2" ht="15.75" customHeight="1">
      <c r="B565" s="32"/>
    </row>
    <row r="566" spans="2:2" ht="15.75" customHeight="1">
      <c r="B566" s="32"/>
    </row>
    <row r="567" spans="2:2" ht="15.75" customHeight="1">
      <c r="B567" s="32"/>
    </row>
    <row r="568" spans="2:2" ht="15.75" customHeight="1">
      <c r="B568" s="32"/>
    </row>
    <row r="569" spans="2:2" ht="15.75" customHeight="1">
      <c r="B569" s="32"/>
    </row>
    <row r="570" spans="2:2" ht="15.75" customHeight="1">
      <c r="B570" s="32"/>
    </row>
    <row r="571" spans="2:2" ht="15.75" customHeight="1">
      <c r="B571" s="32"/>
    </row>
    <row r="572" spans="2:2" ht="15.75" customHeight="1">
      <c r="B572" s="32"/>
    </row>
    <row r="573" spans="2:2" ht="15.75" customHeight="1">
      <c r="B573" s="32"/>
    </row>
    <row r="574" spans="2:2" ht="15.75" customHeight="1">
      <c r="B574" s="32"/>
    </row>
    <row r="575" spans="2:2" ht="15.75" customHeight="1">
      <c r="B575" s="32"/>
    </row>
    <row r="576" spans="2:2" ht="15.75" customHeight="1">
      <c r="B576" s="32"/>
    </row>
    <row r="577" spans="2:2" ht="15.75" customHeight="1">
      <c r="B577" s="32"/>
    </row>
    <row r="578" spans="2:2" ht="15.75" customHeight="1">
      <c r="B578" s="32"/>
    </row>
    <row r="579" spans="2:2" ht="15.75" customHeight="1">
      <c r="B579" s="32"/>
    </row>
    <row r="580" spans="2:2" ht="15.75" customHeight="1">
      <c r="B580" s="32"/>
    </row>
    <row r="581" spans="2:2" ht="15.75" customHeight="1">
      <c r="B581" s="32"/>
    </row>
    <row r="582" spans="2:2" ht="15.75" customHeight="1">
      <c r="B582" s="32"/>
    </row>
    <row r="583" spans="2:2" ht="15.75" customHeight="1">
      <c r="B583" s="32"/>
    </row>
    <row r="584" spans="2:2" ht="15.75" customHeight="1">
      <c r="B584" s="32"/>
    </row>
    <row r="585" spans="2:2" ht="15.75" customHeight="1">
      <c r="B585" s="32"/>
    </row>
    <row r="586" spans="2:2" ht="15.75" customHeight="1">
      <c r="B586" s="32"/>
    </row>
    <row r="587" spans="2:2" ht="15.75" customHeight="1">
      <c r="B587" s="32"/>
    </row>
    <row r="588" spans="2:2" ht="15.75" customHeight="1">
      <c r="B588" s="32"/>
    </row>
    <row r="589" spans="2:2" ht="15.75" customHeight="1">
      <c r="B589" s="32"/>
    </row>
    <row r="590" spans="2:2" ht="15.75" customHeight="1">
      <c r="B590" s="32"/>
    </row>
    <row r="591" spans="2:2" ht="15.75" customHeight="1">
      <c r="B591" s="32"/>
    </row>
    <row r="592" spans="2:2" ht="15.75" customHeight="1">
      <c r="B592" s="32"/>
    </row>
    <row r="593" spans="2:2" ht="15.75" customHeight="1">
      <c r="B593" s="32"/>
    </row>
    <row r="594" spans="2:2" ht="15.75" customHeight="1">
      <c r="B594" s="32"/>
    </row>
    <row r="595" spans="2:2" ht="15.75" customHeight="1">
      <c r="B595" s="32"/>
    </row>
    <row r="596" spans="2:2" ht="15.75" customHeight="1">
      <c r="B596" s="32"/>
    </row>
    <row r="597" spans="2:2" ht="15.75" customHeight="1">
      <c r="B597" s="32"/>
    </row>
    <row r="598" spans="2:2" ht="15.75" customHeight="1">
      <c r="B598" s="32"/>
    </row>
    <row r="599" spans="2:2" ht="15.75" customHeight="1">
      <c r="B599" s="32"/>
    </row>
    <row r="600" spans="2:2" ht="15.75" customHeight="1">
      <c r="B600" s="32"/>
    </row>
    <row r="601" spans="2:2" ht="15.75" customHeight="1">
      <c r="B601" s="32"/>
    </row>
    <row r="602" spans="2:2" ht="15.75" customHeight="1">
      <c r="B602" s="32"/>
    </row>
    <row r="603" spans="2:2" ht="15.75" customHeight="1">
      <c r="B603" s="32"/>
    </row>
    <row r="604" spans="2:2" ht="15.75" customHeight="1">
      <c r="B604" s="32"/>
    </row>
    <row r="605" spans="2:2" ht="15.75" customHeight="1">
      <c r="B605" s="32"/>
    </row>
    <row r="606" spans="2:2" ht="15.75" customHeight="1">
      <c r="B606" s="32"/>
    </row>
    <row r="607" spans="2:2" ht="15.75" customHeight="1">
      <c r="B607" s="32"/>
    </row>
    <row r="608" spans="2:2" ht="15.75" customHeight="1">
      <c r="B608" s="32"/>
    </row>
    <row r="609" spans="2:2" ht="15.75" customHeight="1">
      <c r="B609" s="32"/>
    </row>
    <row r="610" spans="2:2" ht="15.75" customHeight="1">
      <c r="B610" s="32"/>
    </row>
    <row r="611" spans="2:2" ht="15.75" customHeight="1">
      <c r="B611" s="32"/>
    </row>
    <row r="612" spans="2:2" ht="15.75" customHeight="1">
      <c r="B612" s="32"/>
    </row>
    <row r="613" spans="2:2" ht="15.75" customHeight="1">
      <c r="B613" s="32"/>
    </row>
    <row r="614" spans="2:2" ht="15.75" customHeight="1">
      <c r="B614" s="32"/>
    </row>
    <row r="615" spans="2:2" ht="15.75" customHeight="1">
      <c r="B615" s="32"/>
    </row>
    <row r="616" spans="2:2" ht="15.75" customHeight="1">
      <c r="B616" s="32"/>
    </row>
    <row r="617" spans="2:2" ht="15.75" customHeight="1">
      <c r="B617" s="32"/>
    </row>
    <row r="618" spans="2:2" ht="15.75" customHeight="1">
      <c r="B618" s="32"/>
    </row>
    <row r="619" spans="2:2" ht="15.75" customHeight="1">
      <c r="B619" s="32"/>
    </row>
    <row r="620" spans="2:2" ht="15.75" customHeight="1">
      <c r="B620" s="32"/>
    </row>
    <row r="621" spans="2:2" ht="15.75" customHeight="1">
      <c r="B621" s="32"/>
    </row>
    <row r="622" spans="2:2" ht="15.75" customHeight="1">
      <c r="B622" s="32"/>
    </row>
    <row r="623" spans="2:2" ht="15.75" customHeight="1">
      <c r="B623" s="32"/>
    </row>
    <row r="624" spans="2:2" ht="15.75" customHeight="1">
      <c r="B624" s="32"/>
    </row>
    <row r="625" spans="2:2" ht="15.75" customHeight="1">
      <c r="B625" s="32"/>
    </row>
    <row r="626" spans="2:2" ht="15.75" customHeight="1">
      <c r="B626" s="32"/>
    </row>
    <row r="627" spans="2:2" ht="15.75" customHeight="1">
      <c r="B627" s="32"/>
    </row>
    <row r="628" spans="2:2" ht="15.75" customHeight="1">
      <c r="B628" s="32"/>
    </row>
    <row r="629" spans="2:2" ht="15.75" customHeight="1">
      <c r="B629" s="32"/>
    </row>
    <row r="630" spans="2:2" ht="15.75" customHeight="1">
      <c r="B630" s="32"/>
    </row>
    <row r="631" spans="2:2" ht="15.75" customHeight="1">
      <c r="B631" s="32"/>
    </row>
    <row r="632" spans="2:2" ht="15.75" customHeight="1">
      <c r="B632" s="32"/>
    </row>
    <row r="633" spans="2:2" ht="15.75" customHeight="1">
      <c r="B633" s="32"/>
    </row>
    <row r="634" spans="2:2" ht="15.75" customHeight="1">
      <c r="B634" s="32"/>
    </row>
    <row r="635" spans="2:2" ht="15.75" customHeight="1">
      <c r="B635" s="32"/>
    </row>
    <row r="636" spans="2:2" ht="15.75" customHeight="1">
      <c r="B636" s="32"/>
    </row>
    <row r="637" spans="2:2" ht="15.75" customHeight="1">
      <c r="B637" s="32"/>
    </row>
    <row r="638" spans="2:2" ht="15.75" customHeight="1">
      <c r="B638" s="32"/>
    </row>
    <row r="639" spans="2:2" ht="15.75" customHeight="1">
      <c r="B639" s="32"/>
    </row>
    <row r="640" spans="2:2" ht="15.75" customHeight="1">
      <c r="B640" s="32"/>
    </row>
    <row r="641" spans="2:2" ht="15.75" customHeight="1">
      <c r="B641" s="32"/>
    </row>
    <row r="642" spans="2:2" ht="15.75" customHeight="1">
      <c r="B642" s="32"/>
    </row>
    <row r="643" spans="2:2" ht="15.75" customHeight="1">
      <c r="B643" s="32"/>
    </row>
    <row r="644" spans="2:2" ht="15.75" customHeight="1">
      <c r="B644" s="32"/>
    </row>
    <row r="645" spans="2:2" ht="15.75" customHeight="1">
      <c r="B645" s="32"/>
    </row>
    <row r="646" spans="2:2" ht="15.75" customHeight="1">
      <c r="B646" s="32"/>
    </row>
    <row r="647" spans="2:2" ht="15.75" customHeight="1">
      <c r="B647" s="32"/>
    </row>
    <row r="648" spans="2:2" ht="15.75" customHeight="1">
      <c r="B648" s="32"/>
    </row>
    <row r="649" spans="2:2" ht="15.75" customHeight="1">
      <c r="B649" s="32"/>
    </row>
    <row r="650" spans="2:2" ht="15.75" customHeight="1">
      <c r="B650" s="32"/>
    </row>
    <row r="651" spans="2:2" ht="15.75" customHeight="1">
      <c r="B651" s="32"/>
    </row>
    <row r="652" spans="2:2" ht="15.75" customHeight="1">
      <c r="B652" s="32"/>
    </row>
    <row r="653" spans="2:2" ht="15.75" customHeight="1">
      <c r="B653" s="32"/>
    </row>
    <row r="654" spans="2:2" ht="15.75" customHeight="1">
      <c r="B654" s="32"/>
    </row>
    <row r="655" spans="2:2" ht="15.75" customHeight="1">
      <c r="B655" s="32"/>
    </row>
    <row r="656" spans="2:2" ht="15.75" customHeight="1">
      <c r="B656" s="32"/>
    </row>
    <row r="657" spans="2:2" ht="15.75" customHeight="1">
      <c r="B657" s="32"/>
    </row>
    <row r="658" spans="2:2" ht="15.75" customHeight="1">
      <c r="B658" s="32"/>
    </row>
    <row r="659" spans="2:2" ht="15.75" customHeight="1">
      <c r="B659" s="32"/>
    </row>
    <row r="660" spans="2:2" ht="15.75" customHeight="1">
      <c r="B660" s="32"/>
    </row>
    <row r="661" spans="2:2" ht="15.75" customHeight="1">
      <c r="B661" s="32"/>
    </row>
    <row r="662" spans="2:2" ht="15.75" customHeight="1">
      <c r="B662" s="32"/>
    </row>
    <row r="663" spans="2:2" ht="15.75" customHeight="1">
      <c r="B663" s="32"/>
    </row>
    <row r="664" spans="2:2" ht="15.75" customHeight="1">
      <c r="B664" s="32"/>
    </row>
    <row r="665" spans="2:2" ht="15.75" customHeight="1">
      <c r="B665" s="32"/>
    </row>
    <row r="666" spans="2:2" ht="15.75" customHeight="1">
      <c r="B666" s="32"/>
    </row>
    <row r="667" spans="2:2" ht="15.75" customHeight="1">
      <c r="B667" s="32"/>
    </row>
    <row r="668" spans="2:2" ht="15.75" customHeight="1">
      <c r="B668" s="32"/>
    </row>
    <row r="669" spans="2:2" ht="15.75" customHeight="1">
      <c r="B669" s="32"/>
    </row>
    <row r="670" spans="2:2" ht="15.75" customHeight="1">
      <c r="B670" s="32"/>
    </row>
    <row r="671" spans="2:2" ht="15.75" customHeight="1">
      <c r="B671" s="32"/>
    </row>
    <row r="672" spans="2:2" ht="15.75" customHeight="1">
      <c r="B672" s="32"/>
    </row>
    <row r="673" spans="2:2" ht="15.75" customHeight="1">
      <c r="B673" s="32"/>
    </row>
    <row r="674" spans="2:2" ht="15.75" customHeight="1">
      <c r="B674" s="32"/>
    </row>
    <row r="675" spans="2:2" ht="15.75" customHeight="1">
      <c r="B675" s="32"/>
    </row>
    <row r="676" spans="2:2" ht="15.75" customHeight="1">
      <c r="B676" s="32"/>
    </row>
    <row r="677" spans="2:2" ht="15.75" customHeight="1">
      <c r="B677" s="32"/>
    </row>
    <row r="678" spans="2:2" ht="15.75" customHeight="1">
      <c r="B678" s="32"/>
    </row>
    <row r="679" spans="2:2" ht="15.75" customHeight="1">
      <c r="B679" s="32"/>
    </row>
    <row r="680" spans="2:2" ht="15.75" customHeight="1">
      <c r="B680" s="32"/>
    </row>
    <row r="681" spans="2:2" ht="15.75" customHeight="1">
      <c r="B681" s="32"/>
    </row>
    <row r="682" spans="2:2" ht="15.75" customHeight="1">
      <c r="B682" s="32"/>
    </row>
    <row r="683" spans="2:2" ht="15.75" customHeight="1">
      <c r="B683" s="32"/>
    </row>
    <row r="684" spans="2:2" ht="15.75" customHeight="1">
      <c r="B684" s="32"/>
    </row>
    <row r="685" spans="2:2" ht="15.75" customHeight="1">
      <c r="B685" s="32"/>
    </row>
    <row r="686" spans="2:2" ht="15.75" customHeight="1">
      <c r="B686" s="32"/>
    </row>
    <row r="687" spans="2:2" ht="15.75" customHeight="1">
      <c r="B687" s="32"/>
    </row>
    <row r="688" spans="2:2" ht="15.75" customHeight="1">
      <c r="B688" s="32"/>
    </row>
    <row r="689" spans="2:2" ht="15.75" customHeight="1">
      <c r="B689" s="32"/>
    </row>
    <row r="690" spans="2:2" ht="15.75" customHeight="1">
      <c r="B690" s="32"/>
    </row>
    <row r="691" spans="2:2" ht="15.75" customHeight="1">
      <c r="B691" s="32"/>
    </row>
    <row r="692" spans="2:2" ht="15.75" customHeight="1">
      <c r="B692" s="32"/>
    </row>
    <row r="693" spans="2:2" ht="15.75" customHeight="1">
      <c r="B693" s="32"/>
    </row>
    <row r="694" spans="2:2" ht="15.75" customHeight="1">
      <c r="B694" s="32"/>
    </row>
    <row r="695" spans="2:2" ht="15.75" customHeight="1">
      <c r="B695" s="32"/>
    </row>
    <row r="696" spans="2:2" ht="15.75" customHeight="1">
      <c r="B696" s="32"/>
    </row>
    <row r="697" spans="2:2" ht="15.75" customHeight="1">
      <c r="B697" s="32"/>
    </row>
    <row r="698" spans="2:2" ht="15.75" customHeight="1">
      <c r="B698" s="32"/>
    </row>
    <row r="699" spans="2:2" ht="15.75" customHeight="1">
      <c r="B699" s="32"/>
    </row>
    <row r="700" spans="2:2" ht="15.75" customHeight="1">
      <c r="B700" s="32"/>
    </row>
    <row r="701" spans="2:2" ht="15.75" customHeight="1">
      <c r="B701" s="32"/>
    </row>
    <row r="702" spans="2:2" ht="15.75" customHeight="1">
      <c r="B702" s="32"/>
    </row>
    <row r="703" spans="2:2" ht="15.75" customHeight="1">
      <c r="B703" s="32"/>
    </row>
    <row r="704" spans="2:2" ht="15.75" customHeight="1">
      <c r="B704" s="32"/>
    </row>
    <row r="705" spans="2:2" ht="15.75" customHeight="1">
      <c r="B705" s="32"/>
    </row>
    <row r="706" spans="2:2" ht="15.75" customHeight="1">
      <c r="B706" s="32"/>
    </row>
    <row r="707" spans="2:2" ht="15.75" customHeight="1">
      <c r="B707" s="32"/>
    </row>
    <row r="708" spans="2:2" ht="15.75" customHeight="1">
      <c r="B708" s="32"/>
    </row>
    <row r="709" spans="2:2" ht="15.75" customHeight="1">
      <c r="B709" s="32"/>
    </row>
    <row r="710" spans="2:2" ht="15.75" customHeight="1">
      <c r="B710" s="32"/>
    </row>
    <row r="711" spans="2:2" ht="15.75" customHeight="1">
      <c r="B711" s="32"/>
    </row>
    <row r="712" spans="2:2" ht="15.75" customHeight="1">
      <c r="B712" s="32"/>
    </row>
    <row r="713" spans="2:2" ht="15.75" customHeight="1">
      <c r="B713" s="32"/>
    </row>
    <row r="714" spans="2:2" ht="15.75" customHeight="1">
      <c r="B714" s="32"/>
    </row>
    <row r="715" spans="2:2" ht="15.75" customHeight="1">
      <c r="B715" s="32"/>
    </row>
    <row r="716" spans="2:2" ht="15.75" customHeight="1">
      <c r="B716" s="32"/>
    </row>
    <row r="717" spans="2:2" ht="15.75" customHeight="1">
      <c r="B717" s="32"/>
    </row>
    <row r="718" spans="2:2" ht="15.75" customHeight="1">
      <c r="B718" s="32"/>
    </row>
    <row r="719" spans="2:2" ht="15.75" customHeight="1">
      <c r="B719" s="32"/>
    </row>
    <row r="720" spans="2:2" ht="15.75" customHeight="1">
      <c r="B720" s="32"/>
    </row>
    <row r="721" spans="2:2" ht="15.75" customHeight="1">
      <c r="B721" s="32"/>
    </row>
    <row r="722" spans="2:2" ht="15.75" customHeight="1">
      <c r="B722" s="32"/>
    </row>
    <row r="723" spans="2:2" ht="15.75" customHeight="1">
      <c r="B723" s="32"/>
    </row>
    <row r="724" spans="2:2" ht="15.75" customHeight="1">
      <c r="B724" s="32"/>
    </row>
    <row r="725" spans="2:2" ht="15.75" customHeight="1">
      <c r="B725" s="32"/>
    </row>
    <row r="726" spans="2:2" ht="15.75" customHeight="1">
      <c r="B726" s="32"/>
    </row>
    <row r="727" spans="2:2" ht="15.75" customHeight="1">
      <c r="B727" s="32"/>
    </row>
    <row r="728" spans="2:2" ht="15.75" customHeight="1">
      <c r="B728" s="32"/>
    </row>
    <row r="729" spans="2:2" ht="15.75" customHeight="1">
      <c r="B729" s="32"/>
    </row>
    <row r="730" spans="2:2" ht="15.75" customHeight="1">
      <c r="B730" s="32"/>
    </row>
    <row r="731" spans="2:2" ht="15.75" customHeight="1">
      <c r="B731" s="32"/>
    </row>
    <row r="732" spans="2:2" ht="15.75" customHeight="1">
      <c r="B732" s="32"/>
    </row>
    <row r="733" spans="2:2" ht="15.75" customHeight="1">
      <c r="B733" s="32"/>
    </row>
    <row r="734" spans="2:2" ht="15.75" customHeight="1">
      <c r="B734" s="32"/>
    </row>
    <row r="735" spans="2:2" ht="15.75" customHeight="1">
      <c r="B735" s="32"/>
    </row>
    <row r="736" spans="2:2" ht="15.75" customHeight="1">
      <c r="B736" s="32"/>
    </row>
    <row r="737" spans="2:2" ht="15.75" customHeight="1">
      <c r="B737" s="32"/>
    </row>
    <row r="738" spans="2:2" ht="15.75" customHeight="1">
      <c r="B738" s="32"/>
    </row>
    <row r="739" spans="2:2" ht="15.75" customHeight="1">
      <c r="B739" s="32"/>
    </row>
    <row r="740" spans="2:2" ht="15.75" customHeight="1">
      <c r="B740" s="32"/>
    </row>
    <row r="741" spans="2:2" ht="15.75" customHeight="1">
      <c r="B741" s="32"/>
    </row>
    <row r="742" spans="2:2" ht="15.75" customHeight="1">
      <c r="B742" s="32"/>
    </row>
    <row r="743" spans="2:2" ht="15.75" customHeight="1">
      <c r="B743" s="32"/>
    </row>
    <row r="744" spans="2:2" ht="15.75" customHeight="1">
      <c r="B744" s="32"/>
    </row>
    <row r="745" spans="2:2" ht="15.75" customHeight="1">
      <c r="B745" s="32"/>
    </row>
    <row r="746" spans="2:2" ht="15.75" customHeight="1">
      <c r="B746" s="32"/>
    </row>
    <row r="747" spans="2:2" ht="15.75" customHeight="1">
      <c r="B747" s="32"/>
    </row>
    <row r="748" spans="2:2" ht="15.75" customHeight="1">
      <c r="B748" s="32"/>
    </row>
    <row r="749" spans="2:2" ht="15.75" customHeight="1">
      <c r="B749" s="32"/>
    </row>
    <row r="750" spans="2:2" ht="15.75" customHeight="1">
      <c r="B750" s="32"/>
    </row>
    <row r="751" spans="2:2" ht="15.75" customHeight="1">
      <c r="B751" s="32"/>
    </row>
    <row r="752" spans="2:2" ht="15.75" customHeight="1">
      <c r="B752" s="32"/>
    </row>
    <row r="753" spans="2:2" ht="15.75" customHeight="1">
      <c r="B753" s="32"/>
    </row>
    <row r="754" spans="2:2" ht="15.75" customHeight="1">
      <c r="B754" s="32"/>
    </row>
    <row r="755" spans="2:2" ht="15.75" customHeight="1">
      <c r="B755" s="32"/>
    </row>
    <row r="756" spans="2:2" ht="15.75" customHeight="1">
      <c r="B756" s="32"/>
    </row>
    <row r="757" spans="2:2" ht="15.75" customHeight="1">
      <c r="B757" s="32"/>
    </row>
    <row r="758" spans="2:2" ht="15.75" customHeight="1">
      <c r="B758" s="32"/>
    </row>
    <row r="759" spans="2:2" ht="15.75" customHeight="1">
      <c r="B759" s="32"/>
    </row>
    <row r="760" spans="2:2" ht="15.75" customHeight="1">
      <c r="B760" s="32"/>
    </row>
    <row r="761" spans="2:2" ht="15.75" customHeight="1">
      <c r="B761" s="32"/>
    </row>
    <row r="762" spans="2:2" ht="15.75" customHeight="1">
      <c r="B762" s="32"/>
    </row>
    <row r="763" spans="2:2" ht="15.75" customHeight="1">
      <c r="B763" s="32"/>
    </row>
    <row r="764" spans="2:2" ht="15.75" customHeight="1">
      <c r="B764" s="32"/>
    </row>
    <row r="765" spans="2:2" ht="15.75" customHeight="1">
      <c r="B765" s="32"/>
    </row>
    <row r="766" spans="2:2" ht="15.75" customHeight="1">
      <c r="B766" s="32"/>
    </row>
    <row r="767" spans="2:2" ht="15.75" customHeight="1">
      <c r="B767" s="32"/>
    </row>
    <row r="768" spans="2:2" ht="15.75" customHeight="1">
      <c r="B768" s="32"/>
    </row>
    <row r="769" spans="2:2" ht="15.75" customHeight="1">
      <c r="B769" s="32"/>
    </row>
    <row r="770" spans="2:2" ht="15.75" customHeight="1">
      <c r="B770" s="32"/>
    </row>
    <row r="771" spans="2:2" ht="15.75" customHeight="1">
      <c r="B771" s="32"/>
    </row>
    <row r="772" spans="2:2" ht="15.75" customHeight="1">
      <c r="B772" s="32"/>
    </row>
    <row r="773" spans="2:2" ht="15.75" customHeight="1">
      <c r="B773" s="32"/>
    </row>
    <row r="774" spans="2:2" ht="15.75" customHeight="1">
      <c r="B774" s="32"/>
    </row>
    <row r="775" spans="2:2" ht="15.75" customHeight="1">
      <c r="B775" s="32"/>
    </row>
    <row r="776" spans="2:2" ht="15.75" customHeight="1">
      <c r="B776" s="32"/>
    </row>
    <row r="777" spans="2:2" ht="15.75" customHeight="1">
      <c r="B777" s="32"/>
    </row>
    <row r="778" spans="2:2" ht="15.75" customHeight="1">
      <c r="B778" s="32"/>
    </row>
    <row r="779" spans="2:2" ht="15.75" customHeight="1">
      <c r="B779" s="32"/>
    </row>
    <row r="780" spans="2:2" ht="15.75" customHeight="1">
      <c r="B780" s="32"/>
    </row>
    <row r="781" spans="2:2" ht="15.75" customHeight="1">
      <c r="B781" s="32"/>
    </row>
    <row r="782" spans="2:2" ht="15.75" customHeight="1">
      <c r="B782" s="32"/>
    </row>
    <row r="783" spans="2:2" ht="15.75" customHeight="1">
      <c r="B783" s="32"/>
    </row>
    <row r="784" spans="2:2" ht="15.75" customHeight="1">
      <c r="B784" s="32"/>
    </row>
    <row r="785" spans="2:2" ht="15.75" customHeight="1">
      <c r="B785" s="32"/>
    </row>
    <row r="786" spans="2:2" ht="15.75" customHeight="1">
      <c r="B786" s="32"/>
    </row>
    <row r="787" spans="2:2" ht="15.75" customHeight="1">
      <c r="B787" s="32"/>
    </row>
    <row r="788" spans="2:2" ht="15.75" customHeight="1">
      <c r="B788" s="32"/>
    </row>
    <row r="789" spans="2:2" ht="15.75" customHeight="1">
      <c r="B789" s="32"/>
    </row>
    <row r="790" spans="2:2" ht="15.75" customHeight="1">
      <c r="B790" s="32"/>
    </row>
    <row r="791" spans="2:2" ht="15.75" customHeight="1">
      <c r="B791" s="32"/>
    </row>
    <row r="792" spans="2:2" ht="15.75" customHeight="1">
      <c r="B792" s="32"/>
    </row>
    <row r="793" spans="2:2" ht="15.75" customHeight="1">
      <c r="B793" s="32"/>
    </row>
    <row r="794" spans="2:2" ht="15.75" customHeight="1">
      <c r="B794" s="32"/>
    </row>
    <row r="795" spans="2:2" ht="15.75" customHeight="1">
      <c r="B795" s="32"/>
    </row>
    <row r="796" spans="2:2" ht="15.75" customHeight="1">
      <c r="B796" s="32"/>
    </row>
    <row r="797" spans="2:2" ht="15.75" customHeight="1">
      <c r="B797" s="32"/>
    </row>
    <row r="798" spans="2:2" ht="15.75" customHeight="1">
      <c r="B798" s="32"/>
    </row>
    <row r="799" spans="2:2" ht="15.75" customHeight="1">
      <c r="B799" s="32"/>
    </row>
    <row r="800" spans="2:2" ht="15.75" customHeight="1">
      <c r="B800" s="32"/>
    </row>
    <row r="801" spans="2:2" ht="15.75" customHeight="1">
      <c r="B801" s="32"/>
    </row>
    <row r="802" spans="2:2" ht="15.75" customHeight="1">
      <c r="B802" s="32"/>
    </row>
    <row r="803" spans="2:2" ht="15.75" customHeight="1">
      <c r="B803" s="32"/>
    </row>
    <row r="804" spans="2:2" ht="15.75" customHeight="1">
      <c r="B804" s="32"/>
    </row>
    <row r="805" spans="2:2" ht="15.75" customHeight="1">
      <c r="B805" s="32"/>
    </row>
    <row r="806" spans="2:2" ht="15.75" customHeight="1">
      <c r="B806" s="32"/>
    </row>
    <row r="807" spans="2:2" ht="15.75" customHeight="1">
      <c r="B807" s="32"/>
    </row>
    <row r="808" spans="2:2" ht="15.75" customHeight="1">
      <c r="B808" s="32"/>
    </row>
    <row r="809" spans="2:2" ht="15.75" customHeight="1">
      <c r="B809" s="32"/>
    </row>
    <row r="810" spans="2:2" ht="15.75" customHeight="1">
      <c r="B810" s="32"/>
    </row>
    <row r="811" spans="2:2" ht="15.75" customHeight="1">
      <c r="B811" s="32"/>
    </row>
    <row r="812" spans="2:2" ht="15.75" customHeight="1">
      <c r="B812" s="32"/>
    </row>
    <row r="813" spans="2:2" ht="15.75" customHeight="1">
      <c r="B813" s="32"/>
    </row>
    <row r="814" spans="2:2" ht="15.75" customHeight="1">
      <c r="B814" s="32"/>
    </row>
    <row r="815" spans="2:2" ht="15.75" customHeight="1">
      <c r="B815" s="32"/>
    </row>
    <row r="816" spans="2:2" ht="15.75" customHeight="1">
      <c r="B816" s="32"/>
    </row>
    <row r="817" spans="2:2" ht="15.75" customHeight="1">
      <c r="B817" s="32"/>
    </row>
    <row r="818" spans="2:2" ht="15.75" customHeight="1">
      <c r="B818" s="32"/>
    </row>
    <row r="819" spans="2:2" ht="15.75" customHeight="1">
      <c r="B819" s="32"/>
    </row>
    <row r="820" spans="2:2" ht="15.75" customHeight="1">
      <c r="B820" s="32"/>
    </row>
    <row r="821" spans="2:2" ht="15.75" customHeight="1">
      <c r="B821" s="32"/>
    </row>
    <row r="822" spans="2:2" ht="15.75" customHeight="1">
      <c r="B822" s="32"/>
    </row>
    <row r="823" spans="2:2" ht="15.75" customHeight="1">
      <c r="B823" s="32"/>
    </row>
    <row r="824" spans="2:2" ht="15.75" customHeight="1">
      <c r="B824" s="32"/>
    </row>
    <row r="825" spans="2:2" ht="15.75" customHeight="1">
      <c r="B825" s="32"/>
    </row>
    <row r="826" spans="2:2" ht="15.75" customHeight="1">
      <c r="B826" s="32"/>
    </row>
    <row r="827" spans="2:2" ht="15.75" customHeight="1">
      <c r="B827" s="32"/>
    </row>
    <row r="828" spans="2:2" ht="15.75" customHeight="1">
      <c r="B828" s="32"/>
    </row>
    <row r="829" spans="2:2" ht="15.75" customHeight="1">
      <c r="B829" s="32"/>
    </row>
    <row r="830" spans="2:2" ht="15.75" customHeight="1">
      <c r="B830" s="32"/>
    </row>
    <row r="831" spans="2:2" ht="15.75" customHeight="1">
      <c r="B831" s="32"/>
    </row>
    <row r="832" spans="2:2" ht="15.75" customHeight="1">
      <c r="B832" s="32"/>
    </row>
    <row r="833" spans="2:2" ht="15.75" customHeight="1">
      <c r="B833" s="32"/>
    </row>
    <row r="834" spans="2:2" ht="15.75" customHeight="1">
      <c r="B834" s="32"/>
    </row>
    <row r="835" spans="2:2" ht="15.75" customHeight="1">
      <c r="B835" s="32"/>
    </row>
    <row r="836" spans="2:2" ht="15.75" customHeight="1">
      <c r="B836" s="32"/>
    </row>
    <row r="837" spans="2:2" ht="15.75" customHeight="1">
      <c r="B837" s="32"/>
    </row>
    <row r="838" spans="2:2" ht="15.75" customHeight="1">
      <c r="B838" s="32"/>
    </row>
    <row r="839" spans="2:2" ht="15.75" customHeight="1">
      <c r="B839" s="32"/>
    </row>
    <row r="840" spans="2:2" ht="15.75" customHeight="1">
      <c r="B840" s="32"/>
    </row>
    <row r="841" spans="2:2" ht="15.75" customHeight="1">
      <c r="B841" s="32"/>
    </row>
    <row r="842" spans="2:2" ht="15.75" customHeight="1">
      <c r="B842" s="32"/>
    </row>
    <row r="843" spans="2:2" ht="15.75" customHeight="1">
      <c r="B843" s="32"/>
    </row>
    <row r="844" spans="2:2" ht="15.75" customHeight="1">
      <c r="B844" s="32"/>
    </row>
    <row r="845" spans="2:2" ht="15.75" customHeight="1">
      <c r="B845" s="32"/>
    </row>
    <row r="846" spans="2:2" ht="15.75" customHeight="1">
      <c r="B846" s="32"/>
    </row>
    <row r="847" spans="2:2" ht="15.75" customHeight="1">
      <c r="B847" s="32"/>
    </row>
    <row r="848" spans="2:2" ht="15.75" customHeight="1">
      <c r="B848" s="32"/>
    </row>
    <row r="849" spans="2:2" ht="15.75" customHeight="1">
      <c r="B849" s="32"/>
    </row>
    <row r="850" spans="2:2" ht="15.75" customHeight="1">
      <c r="B850" s="32"/>
    </row>
    <row r="851" spans="2:2" ht="15.75" customHeight="1">
      <c r="B851" s="32"/>
    </row>
    <row r="852" spans="2:2" ht="15.75" customHeight="1">
      <c r="B852" s="32"/>
    </row>
    <row r="853" spans="2:2" ht="15.75" customHeight="1">
      <c r="B853" s="32"/>
    </row>
    <row r="854" spans="2:2" ht="15.75" customHeight="1">
      <c r="B854" s="32"/>
    </row>
    <row r="855" spans="2:2" ht="15.75" customHeight="1">
      <c r="B855" s="32"/>
    </row>
    <row r="856" spans="2:2" ht="15.75" customHeight="1">
      <c r="B856" s="32"/>
    </row>
    <row r="857" spans="2:2" ht="15.75" customHeight="1">
      <c r="B857" s="32"/>
    </row>
    <row r="858" spans="2:2" ht="15.75" customHeight="1">
      <c r="B858" s="32"/>
    </row>
    <row r="859" spans="2:2" ht="15.75" customHeight="1">
      <c r="B859" s="32"/>
    </row>
    <row r="860" spans="2:2" ht="15.75" customHeight="1">
      <c r="B860" s="32"/>
    </row>
    <row r="861" spans="2:2" ht="15.75" customHeight="1">
      <c r="B861" s="32"/>
    </row>
    <row r="862" spans="2:2" ht="15.75" customHeight="1">
      <c r="B862" s="32"/>
    </row>
    <row r="863" spans="2:2" ht="15.75" customHeight="1">
      <c r="B863" s="32"/>
    </row>
    <row r="864" spans="2:2" ht="15.75" customHeight="1">
      <c r="B864" s="32"/>
    </row>
    <row r="865" spans="2:2" ht="15.75" customHeight="1">
      <c r="B865" s="32"/>
    </row>
    <row r="866" spans="2:2" ht="15.75" customHeight="1">
      <c r="B866" s="32"/>
    </row>
    <row r="867" spans="2:2" ht="15.75" customHeight="1">
      <c r="B867" s="32"/>
    </row>
    <row r="868" spans="2:2" ht="15.75" customHeight="1">
      <c r="B868" s="32"/>
    </row>
    <row r="869" spans="2:2" ht="15.75" customHeight="1">
      <c r="B869" s="32"/>
    </row>
    <row r="870" spans="2:2" ht="15.75" customHeight="1">
      <c r="B870" s="32"/>
    </row>
    <row r="871" spans="2:2" ht="15.75" customHeight="1">
      <c r="B871" s="32"/>
    </row>
    <row r="872" spans="2:2" ht="15.75" customHeight="1">
      <c r="B872" s="32"/>
    </row>
    <row r="873" spans="2:2" ht="15.75" customHeight="1">
      <c r="B873" s="32"/>
    </row>
    <row r="874" spans="2:2" ht="15.75" customHeight="1">
      <c r="B874" s="32"/>
    </row>
    <row r="875" spans="2:2" ht="15.75" customHeight="1">
      <c r="B875" s="32"/>
    </row>
    <row r="876" spans="2:2" ht="15.75" customHeight="1">
      <c r="B876" s="32"/>
    </row>
    <row r="877" spans="2:2" ht="15.75" customHeight="1">
      <c r="B877" s="32"/>
    </row>
    <row r="878" spans="2:2" ht="15.75" customHeight="1">
      <c r="B878" s="32"/>
    </row>
    <row r="879" spans="2:2" ht="15.75" customHeight="1">
      <c r="B879" s="32"/>
    </row>
    <row r="880" spans="2:2" ht="15.75" customHeight="1">
      <c r="B880" s="32"/>
    </row>
    <row r="881" spans="2:2" ht="15.75" customHeight="1">
      <c r="B881" s="32"/>
    </row>
    <row r="882" spans="2:2" ht="15.75" customHeight="1">
      <c r="B882" s="32"/>
    </row>
    <row r="883" spans="2:2" ht="15.75" customHeight="1">
      <c r="B883" s="32"/>
    </row>
    <row r="884" spans="2:2" ht="15.75" customHeight="1">
      <c r="B884" s="32"/>
    </row>
    <row r="885" spans="2:2" ht="15.75" customHeight="1">
      <c r="B885" s="32"/>
    </row>
    <row r="886" spans="2:2" ht="15.75" customHeight="1">
      <c r="B886" s="32"/>
    </row>
    <row r="887" spans="2:2" ht="15.75" customHeight="1">
      <c r="B887" s="32"/>
    </row>
    <row r="888" spans="2:2" ht="15.75" customHeight="1">
      <c r="B888" s="32"/>
    </row>
    <row r="889" spans="2:2" ht="15.75" customHeight="1">
      <c r="B889" s="32"/>
    </row>
    <row r="890" spans="2:2" ht="15.75" customHeight="1">
      <c r="B890" s="32"/>
    </row>
    <row r="891" spans="2:2" ht="15.75" customHeight="1">
      <c r="B891" s="32"/>
    </row>
    <row r="892" spans="2:2" ht="15.75" customHeight="1">
      <c r="B892" s="32"/>
    </row>
    <row r="893" spans="2:2" ht="15.75" customHeight="1">
      <c r="B893" s="32"/>
    </row>
    <row r="894" spans="2:2" ht="15.75" customHeight="1">
      <c r="B894" s="32"/>
    </row>
    <row r="895" spans="2:2" ht="15.75" customHeight="1">
      <c r="B895" s="32"/>
    </row>
    <row r="896" spans="2:2" ht="15.75" customHeight="1">
      <c r="B896" s="32"/>
    </row>
    <row r="897" spans="2:2" ht="15.75" customHeight="1">
      <c r="B897" s="32"/>
    </row>
    <row r="898" spans="2:2" ht="15.75" customHeight="1">
      <c r="B898" s="32"/>
    </row>
    <row r="899" spans="2:2" ht="15.75" customHeight="1">
      <c r="B899" s="32"/>
    </row>
    <row r="900" spans="2:2" ht="15.75" customHeight="1">
      <c r="B900" s="32"/>
    </row>
    <row r="901" spans="2:2" ht="15.75" customHeight="1">
      <c r="B901" s="32"/>
    </row>
    <row r="902" spans="2:2" ht="15.75" customHeight="1">
      <c r="B902" s="32"/>
    </row>
    <row r="903" spans="2:2" ht="15.75" customHeight="1">
      <c r="B903" s="32"/>
    </row>
    <row r="904" spans="2:2" ht="15.75" customHeight="1">
      <c r="B904" s="32"/>
    </row>
    <row r="905" spans="2:2" ht="15.75" customHeight="1">
      <c r="B905" s="32"/>
    </row>
    <row r="906" spans="2:2" ht="15.75" customHeight="1">
      <c r="B906" s="32"/>
    </row>
    <row r="907" spans="2:2" ht="15.75" customHeight="1">
      <c r="B907" s="32"/>
    </row>
    <row r="908" spans="2:2" ht="15.75" customHeight="1">
      <c r="B908" s="32"/>
    </row>
    <row r="909" spans="2:2" ht="15.75" customHeight="1">
      <c r="B909" s="32"/>
    </row>
    <row r="910" spans="2:2" ht="15.75" customHeight="1">
      <c r="B910" s="32"/>
    </row>
    <row r="911" spans="2:2" ht="15.75" customHeight="1">
      <c r="B911" s="32"/>
    </row>
    <row r="912" spans="2:2" ht="15.75" customHeight="1">
      <c r="B912" s="32"/>
    </row>
    <row r="913" spans="2:2" ht="15.75" customHeight="1">
      <c r="B913" s="32"/>
    </row>
    <row r="914" spans="2:2" ht="15.75" customHeight="1">
      <c r="B914" s="32"/>
    </row>
    <row r="915" spans="2:2" ht="15.75" customHeight="1">
      <c r="B915" s="32"/>
    </row>
    <row r="916" spans="2:2" ht="15.75" customHeight="1">
      <c r="B916" s="32"/>
    </row>
    <row r="917" spans="2:2" ht="15.75" customHeight="1">
      <c r="B917" s="32"/>
    </row>
    <row r="918" spans="2:2" ht="15.75" customHeight="1">
      <c r="B918" s="32"/>
    </row>
    <row r="919" spans="2:2" ht="15.75" customHeight="1">
      <c r="B919" s="32"/>
    </row>
    <row r="920" spans="2:2" ht="15.75" customHeight="1">
      <c r="B920" s="32"/>
    </row>
    <row r="921" spans="2:2" ht="15.75" customHeight="1">
      <c r="B921" s="32"/>
    </row>
    <row r="922" spans="2:2" ht="15.75" customHeight="1">
      <c r="B922" s="32"/>
    </row>
    <row r="923" spans="2:2" ht="15.75" customHeight="1">
      <c r="B923" s="32"/>
    </row>
    <row r="924" spans="2:2" ht="15.75" customHeight="1">
      <c r="B924" s="32"/>
    </row>
    <row r="925" spans="2:2" ht="15.75" customHeight="1">
      <c r="B925" s="32"/>
    </row>
    <row r="926" spans="2:2" ht="15.75" customHeight="1">
      <c r="B926" s="32"/>
    </row>
    <row r="927" spans="2:2" ht="15.75" customHeight="1">
      <c r="B927" s="32"/>
    </row>
    <row r="928" spans="2:2" ht="15.75" customHeight="1">
      <c r="B928" s="32"/>
    </row>
    <row r="929" spans="2:2" ht="15.75" customHeight="1">
      <c r="B929" s="32"/>
    </row>
    <row r="930" spans="2:2" ht="15.75" customHeight="1">
      <c r="B930" s="32"/>
    </row>
    <row r="931" spans="2:2" ht="15.75" customHeight="1">
      <c r="B931" s="32"/>
    </row>
    <row r="932" spans="2:2" ht="15.75" customHeight="1">
      <c r="B932" s="32"/>
    </row>
    <row r="933" spans="2:2" ht="15.75" customHeight="1">
      <c r="B933" s="32"/>
    </row>
    <row r="934" spans="2:2" ht="15.75" customHeight="1">
      <c r="B934" s="32"/>
    </row>
    <row r="935" spans="2:2" ht="15.75" customHeight="1">
      <c r="B935" s="32"/>
    </row>
    <row r="936" spans="2:2" ht="15.75" customHeight="1">
      <c r="B936" s="32"/>
    </row>
    <row r="937" spans="2:2" ht="15.75" customHeight="1">
      <c r="B937" s="32"/>
    </row>
    <row r="938" spans="2:2" ht="15.75" customHeight="1">
      <c r="B938" s="32"/>
    </row>
    <row r="939" spans="2:2" ht="15.75" customHeight="1">
      <c r="B939" s="32"/>
    </row>
    <row r="940" spans="2:2" ht="15.75" customHeight="1">
      <c r="B940" s="32"/>
    </row>
    <row r="941" spans="2:2" ht="15.75" customHeight="1">
      <c r="B941" s="32"/>
    </row>
    <row r="942" spans="2:2" ht="15.75" customHeight="1">
      <c r="B942" s="32"/>
    </row>
    <row r="943" spans="2:2" ht="15.75" customHeight="1">
      <c r="B943" s="32"/>
    </row>
    <row r="944" spans="2:2" ht="15.75" customHeight="1">
      <c r="B944" s="32"/>
    </row>
    <row r="945" spans="2:2" ht="15.75" customHeight="1">
      <c r="B945" s="32"/>
    </row>
    <row r="946" spans="2:2" ht="15.75" customHeight="1">
      <c r="B946" s="32"/>
    </row>
    <row r="947" spans="2:2" ht="15.75" customHeight="1">
      <c r="B947" s="32"/>
    </row>
    <row r="948" spans="2:2" ht="15.75" customHeight="1">
      <c r="B948" s="32"/>
    </row>
    <row r="949" spans="2:2" ht="15.75" customHeight="1">
      <c r="B949" s="32"/>
    </row>
    <row r="950" spans="2:2" ht="15.75" customHeight="1">
      <c r="B950" s="32"/>
    </row>
    <row r="951" spans="2:2" ht="15.75" customHeight="1">
      <c r="B951" s="32"/>
    </row>
    <row r="952" spans="2:2" ht="15.75" customHeight="1">
      <c r="B952" s="32"/>
    </row>
    <row r="953" spans="2:2" ht="15.75" customHeight="1">
      <c r="B953" s="32"/>
    </row>
    <row r="954" spans="2:2" ht="15.75" customHeight="1">
      <c r="B954" s="32"/>
    </row>
    <row r="955" spans="2:2" ht="15.75" customHeight="1">
      <c r="B955" s="32"/>
    </row>
    <row r="956" spans="2:2" ht="15.75" customHeight="1">
      <c r="B956" s="32"/>
    </row>
    <row r="957" spans="2:2" ht="15.75" customHeight="1">
      <c r="B957" s="32"/>
    </row>
    <row r="958" spans="2:2" ht="15.75" customHeight="1">
      <c r="B958" s="32"/>
    </row>
    <row r="959" spans="2:2" ht="15.75" customHeight="1">
      <c r="B959" s="32"/>
    </row>
    <row r="960" spans="2:2" ht="15.75" customHeight="1">
      <c r="B960" s="32"/>
    </row>
    <row r="961" spans="2:2" ht="15.75" customHeight="1">
      <c r="B961" s="32"/>
    </row>
    <row r="962" spans="2:2" ht="15.75" customHeight="1">
      <c r="B962" s="32"/>
    </row>
    <row r="963" spans="2:2" ht="15.75" customHeight="1">
      <c r="B963" s="32"/>
    </row>
    <row r="964" spans="2:2" ht="15.75" customHeight="1">
      <c r="B964" s="32"/>
    </row>
    <row r="965" spans="2:2" ht="15.75" customHeight="1">
      <c r="B965" s="32"/>
    </row>
    <row r="966" spans="2:2" ht="15.75" customHeight="1">
      <c r="B966" s="32"/>
    </row>
    <row r="967" spans="2:2" ht="15.75" customHeight="1">
      <c r="B967" s="32"/>
    </row>
    <row r="968" spans="2:2" ht="15.75" customHeight="1">
      <c r="B968" s="32"/>
    </row>
    <row r="969" spans="2:2" ht="15.75" customHeight="1">
      <c r="B969" s="32"/>
    </row>
    <row r="970" spans="2:2" ht="15.75" customHeight="1">
      <c r="B970" s="32"/>
    </row>
    <row r="971" spans="2:2" ht="15.75" customHeight="1">
      <c r="B971" s="32"/>
    </row>
    <row r="972" spans="2:2" ht="15.75" customHeight="1">
      <c r="B972" s="32"/>
    </row>
    <row r="973" spans="2:2" ht="15.75" customHeight="1">
      <c r="B973" s="32"/>
    </row>
    <row r="974" spans="2:2" ht="15.75" customHeight="1">
      <c r="B974" s="32"/>
    </row>
    <row r="975" spans="2:2" ht="15.75" customHeight="1">
      <c r="B975" s="32"/>
    </row>
    <row r="976" spans="2:2" ht="15.75" customHeight="1">
      <c r="B976" s="32"/>
    </row>
    <row r="977" spans="2:2" ht="15.75" customHeight="1">
      <c r="B977" s="32"/>
    </row>
    <row r="978" spans="2:2" ht="15.75" customHeight="1">
      <c r="B978" s="32"/>
    </row>
    <row r="979" spans="2:2" ht="15.75" customHeight="1">
      <c r="B979" s="32"/>
    </row>
    <row r="980" spans="2:2" ht="15.75" customHeight="1">
      <c r="B980" s="32"/>
    </row>
    <row r="981" spans="2:2" ht="15.75" customHeight="1">
      <c r="B981" s="32"/>
    </row>
    <row r="982" spans="2:2" ht="15.75" customHeight="1">
      <c r="B982" s="32"/>
    </row>
    <row r="983" spans="2:2" ht="15.75" customHeight="1">
      <c r="B983" s="32"/>
    </row>
    <row r="984" spans="2:2" ht="15.75" customHeight="1">
      <c r="B984" s="32"/>
    </row>
    <row r="985" spans="2:2" ht="15.75" customHeight="1">
      <c r="B985" s="32"/>
    </row>
    <row r="986" spans="2:2" ht="15.75" customHeight="1">
      <c r="B986" s="32"/>
    </row>
    <row r="987" spans="2:2" ht="15.75" customHeight="1">
      <c r="B987" s="32"/>
    </row>
    <row r="988" spans="2:2" ht="15.75" customHeight="1">
      <c r="B988" s="32"/>
    </row>
    <row r="989" spans="2:2" ht="15.75" customHeight="1">
      <c r="B989" s="32"/>
    </row>
    <row r="990" spans="2:2" ht="15.75" customHeight="1">
      <c r="B990" s="32"/>
    </row>
    <row r="991" spans="2:2" ht="15.75" customHeight="1">
      <c r="B991" s="32"/>
    </row>
    <row r="992" spans="2:2" ht="15.75" customHeight="1">
      <c r="B992" s="32"/>
    </row>
    <row r="993" spans="2:2" ht="15.75" customHeight="1">
      <c r="B993" s="32"/>
    </row>
    <row r="994" spans="2:2" ht="15.75" customHeight="1">
      <c r="B994" s="32"/>
    </row>
    <row r="995" spans="2:2" ht="15.75" customHeight="1">
      <c r="B995" s="32"/>
    </row>
    <row r="996" spans="2:2" ht="15.75" customHeight="1">
      <c r="B996" s="32"/>
    </row>
    <row r="997" spans="2:2" ht="15.75" customHeight="1">
      <c r="B997" s="32"/>
    </row>
    <row r="998" spans="2:2" ht="15.75" customHeight="1">
      <c r="B998" s="32"/>
    </row>
    <row r="999" spans="2:2" ht="15.75" customHeight="1">
      <c r="B999" s="32"/>
    </row>
    <row r="1000" spans="2:2" ht="15.75" customHeight="1">
      <c r="B1000" s="32"/>
    </row>
    <row r="1001" spans="2:2" ht="15.75" customHeight="1">
      <c r="B1001" s="32"/>
    </row>
    <row r="1002" spans="2:2" ht="15.75" customHeight="1">
      <c r="B1002" s="32"/>
    </row>
  </sheetData>
  <hyperlinks>
    <hyperlink ref="C28" r:id="rId1" location="polycard_client=search-nordic&amp;searchVariation=MECU2433844981&amp;position=8&amp;search_layout=stack&amp;type=product&amp;tracking_id=52b1c762-36eb-42fb-9915-a22b6e92384e&amp;wid=MEC525331154&amp;sid=search" xr:uid="{00000000-0004-0000-0000-000000000000}"/>
    <hyperlink ref="C29" r:id="rId2" location="polycard_client=search-nordic&amp;searchVariation=MECU2433844981&amp;position=8&amp;search_layout=stack&amp;type=product&amp;tracking_id=52b1c762-36eb-42fb-9915-a22b6e92384e&amp;wid=MEC525331154&amp;sid=search" xr:uid="{00000000-0004-0000-0000-000001000000}"/>
    <hyperlink ref="C61" r:id="rId3" xr:uid="{00000000-0004-0000-0000-000002000000}"/>
    <hyperlink ref="C63" r:id="rId4" xr:uid="{00000000-0004-0000-0000-000003000000}"/>
    <hyperlink ref="C87" r:id="rId5" xr:uid="{00000000-0004-0000-0000-000004000000}"/>
    <hyperlink ref="C90" r:id="rId6" location="google_vignette" xr:uid="{00000000-0004-0000-0000-000005000000}"/>
    <hyperlink ref="C122" r:id="rId7" xr:uid="{00000000-0004-0000-0000-000006000000}"/>
    <hyperlink ref="C137" r:id="rId8" xr:uid="{00000000-0004-0000-0000-000007000000}"/>
    <hyperlink ref="C157" r:id="rId9" xr:uid="{00000000-0004-0000-0000-000008000000}"/>
    <hyperlink ref="C172" r:id="rId10" xr:uid="{00000000-0004-0000-0000-000009000000}"/>
    <hyperlink ref="C232" r:id="rId11" xr:uid="{00000000-0004-0000-0000-00000A000000}"/>
    <hyperlink ref="C234" r:id="rId12" xr:uid="{00000000-0004-0000-0000-00000B000000}"/>
    <hyperlink ref="C235" r:id="rId13" xr:uid="{00000000-0004-0000-0000-00000C000000}"/>
    <hyperlink ref="C237" r:id="rId14" xr:uid="{00000000-0004-0000-0000-00000D000000}"/>
    <hyperlink ref="C238" r:id="rId15" xr:uid="{00000000-0004-0000-0000-00000E000000}"/>
    <hyperlink ref="C247" r:id="rId16" xr:uid="{00000000-0004-0000-0000-00000F000000}"/>
    <hyperlink ref="C249" r:id="rId17" xr:uid="{00000000-0004-0000-0000-000010000000}"/>
    <hyperlink ref="C250" r:id="rId18" xr:uid="{00000000-0004-0000-0000-000011000000}"/>
    <hyperlink ref="C251" r:id="rId19" xr:uid="{00000000-0004-0000-0000-000012000000}"/>
    <hyperlink ref="C257" r:id="rId20" xr:uid="{00000000-0004-0000-0000-000013000000}"/>
    <hyperlink ref="C267" r:id="rId21" xr:uid="{00000000-0004-0000-0000-000014000000}"/>
    <hyperlink ref="C283" r:id="rId22" xr:uid="{00000000-0004-0000-0000-000015000000}"/>
    <hyperlink ref="C297" r:id="rId23" xr:uid="{00000000-0004-0000-0000-000016000000}"/>
    <hyperlink ref="C314" r:id="rId24" xr:uid="{00000000-0004-0000-0000-000017000000}"/>
    <hyperlink ref="C326" r:id="rId25" xr:uid="{00000000-0004-0000-0000-000018000000}"/>
    <hyperlink ref="C329" r:id="rId26" xr:uid="{00000000-0004-0000-0000-000019000000}"/>
    <hyperlink ref="C383" r:id="rId27" xr:uid="{00000000-0004-0000-0000-00001A000000}"/>
    <hyperlink ref="C385" r:id="rId28" xr:uid="{00000000-0004-0000-0000-00001B000000}"/>
    <hyperlink ref="C387" r:id="rId29" xr:uid="{00000000-0004-0000-0000-00001C000000}"/>
    <hyperlink ref="C389" r:id="rId30" xr:uid="{00000000-0004-0000-0000-00001D000000}"/>
    <hyperlink ref="C390" r:id="rId31" xr:uid="{00000000-0004-0000-0000-00001E000000}"/>
    <hyperlink ref="C394" r:id="rId32" xr:uid="{00000000-0004-0000-0000-00001F000000}"/>
    <hyperlink ref="C433" r:id="rId33" xr:uid="{00000000-0004-0000-0000-000020000000}"/>
    <hyperlink ref="C435" r:id="rId34" xr:uid="{00000000-0004-0000-0000-000021000000}"/>
    <hyperlink ref="C436" r:id="rId35" location="D[A:saboya]" xr:uid="{00000000-0004-0000-0000-000022000000}"/>
    <hyperlink ref="C442" r:id="rId36" xr:uid="{00000000-0004-0000-0000-000023000000}"/>
    <hyperlink ref="C449" r:id="rId37" xr:uid="{00000000-0004-0000-0000-000024000000}"/>
    <hyperlink ref="C458" r:id="rId38" xr:uid="{00000000-0004-0000-0000-000025000000}"/>
    <hyperlink ref="C479" r:id="rId39" xr:uid="{00000000-0004-0000-0000-000026000000}"/>
    <hyperlink ref="C480" r:id="rId40" xr:uid="{00000000-0004-0000-0000-000027000000}"/>
    <hyperlink ref="C481" r:id="rId41" xr:uid="{00000000-0004-0000-0000-000028000000}"/>
    <hyperlink ref="C482" r:id="rId42" xr:uid="{00000000-0004-0000-0000-000029000000}"/>
    <hyperlink ref="C483" r:id="rId43" xr:uid="{00000000-0004-0000-0000-00002A000000}"/>
    <hyperlink ref="C492" r:id="rId44" xr:uid="{00000000-0004-0000-0000-00002B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8"/>
  <sheetViews>
    <sheetView topLeftCell="A7" workbookViewId="0">
      <selection activeCell="B10" sqref="B10"/>
    </sheetView>
  </sheetViews>
  <sheetFormatPr baseColWidth="10" defaultColWidth="14.44140625" defaultRowHeight="15" customHeight="1"/>
  <cols>
    <col min="1" max="1" width="69.88671875" customWidth="1"/>
    <col min="2" max="2" width="20.5546875" customWidth="1"/>
    <col min="3" max="3" width="26.6640625" customWidth="1"/>
    <col min="4" max="4" width="29.5546875" customWidth="1"/>
    <col min="5" max="5" width="29.109375" customWidth="1"/>
    <col min="6" max="6" width="71.6640625" customWidth="1"/>
    <col min="7" max="26" width="10.6640625" customWidth="1"/>
  </cols>
  <sheetData>
    <row r="1" spans="1:2" ht="14.4">
      <c r="A1" s="16" t="s">
        <v>539</v>
      </c>
      <c r="B1" s="2" t="s">
        <v>540</v>
      </c>
    </row>
    <row r="2" spans="1:2" ht="14.4">
      <c r="A2" s="17" t="s">
        <v>2</v>
      </c>
      <c r="B2" s="15">
        <v>5.9</v>
      </c>
    </row>
    <row r="3" spans="1:2" ht="14.4">
      <c r="A3" s="17" t="s">
        <v>3</v>
      </c>
      <c r="B3" s="15">
        <v>1.2970602103733231</v>
      </c>
    </row>
    <row r="4" spans="1:2" ht="14.4">
      <c r="A4" s="17" t="s">
        <v>4</v>
      </c>
      <c r="B4" s="15">
        <v>1.2873185714285711</v>
      </c>
    </row>
    <row r="5" spans="1:2" ht="14.4">
      <c r="A5" s="17" t="s">
        <v>5</v>
      </c>
      <c r="B5" s="15">
        <v>1.6205052083333329</v>
      </c>
    </row>
    <row r="6" spans="1:2" ht="14.4">
      <c r="A6" s="17" t="s">
        <v>6</v>
      </c>
      <c r="B6" s="15">
        <v>2.8637436022027858</v>
      </c>
    </row>
    <row r="7" spans="1:2" ht="14.4">
      <c r="A7" s="17" t="s">
        <v>7</v>
      </c>
      <c r="B7" s="15">
        <v>3.1220565521694552</v>
      </c>
    </row>
    <row r="8" spans="1:2" ht="14.4">
      <c r="A8" s="17" t="s">
        <v>8</v>
      </c>
      <c r="B8" s="15">
        <v>4.4376505172459124</v>
      </c>
    </row>
    <row r="9" spans="1:2" ht="14.4">
      <c r="A9" s="17" t="s">
        <v>9</v>
      </c>
      <c r="B9" s="15">
        <v>0.27557749999999998</v>
      </c>
    </row>
    <row r="10" spans="1:2" ht="14.4">
      <c r="A10" s="17" t="s">
        <v>10</v>
      </c>
      <c r="B10" s="15">
        <v>6.24</v>
      </c>
    </row>
    <row r="11" spans="1:2" ht="14.4">
      <c r="A11" s="17" t="s">
        <v>11</v>
      </c>
      <c r="B11" s="15">
        <v>0.71507150715071499</v>
      </c>
    </row>
    <row r="12" spans="1:2" ht="14.4">
      <c r="A12" s="17" t="s">
        <v>12</v>
      </c>
      <c r="B12" s="15">
        <v>6.24</v>
      </c>
    </row>
    <row r="13" spans="1:2" ht="14.4">
      <c r="A13" s="17" t="s">
        <v>13</v>
      </c>
      <c r="B13" s="15">
        <v>0.66006600660066006</v>
      </c>
    </row>
    <row r="14" spans="1:2" ht="14.4">
      <c r="A14" s="17" t="s">
        <v>14</v>
      </c>
      <c r="B14" s="15">
        <v>1.4924977368310699</v>
      </c>
    </row>
    <row r="15" spans="1:2" ht="14.4">
      <c r="A15" s="17" t="s">
        <v>15</v>
      </c>
      <c r="B15" s="15">
        <v>0.9</v>
      </c>
    </row>
    <row r="16" spans="1:2" ht="14.4">
      <c r="A16" s="17" t="s">
        <v>16</v>
      </c>
      <c r="B16" s="15">
        <v>0.60506050605060502</v>
      </c>
    </row>
    <row r="17" spans="1:2" ht="14.4">
      <c r="A17" s="17" t="s">
        <v>17</v>
      </c>
      <c r="B17" s="15">
        <v>1.841888986729193</v>
      </c>
    </row>
    <row r="18" spans="1:2" ht="14.4">
      <c r="A18" s="17" t="s">
        <v>18</v>
      </c>
      <c r="B18" s="15">
        <v>0.99009900990099009</v>
      </c>
    </row>
    <row r="19" spans="1:2" ht="15.75" customHeight="1">
      <c r="A19" s="17" t="s">
        <v>19</v>
      </c>
      <c r="B19" s="15">
        <v>3</v>
      </c>
    </row>
    <row r="20" spans="1:2" ht="15.75" customHeight="1">
      <c r="A20" s="17" t="s">
        <v>20</v>
      </c>
      <c r="B20" s="15">
        <v>2.5</v>
      </c>
    </row>
    <row r="21" spans="1:2" ht="15.75" customHeight="1">
      <c r="A21" s="17" t="s">
        <v>21</v>
      </c>
      <c r="B21" s="15">
        <v>0.66006600660066006</v>
      </c>
    </row>
    <row r="22" spans="1:2" ht="15.75" customHeight="1">
      <c r="A22" s="17" t="s">
        <v>22</v>
      </c>
      <c r="B22" s="15">
        <v>3.3069299999999995</v>
      </c>
    </row>
    <row r="23" spans="1:2" ht="15.75" customHeight="1">
      <c r="A23" s="17" t="s">
        <v>23</v>
      </c>
      <c r="B23" s="15">
        <v>6.24</v>
      </c>
    </row>
    <row r="24" spans="1:2" ht="15.75" customHeight="1">
      <c r="A24" s="17" t="s">
        <v>24</v>
      </c>
      <c r="B24" s="15">
        <v>6.24</v>
      </c>
    </row>
    <row r="25" spans="1:2" ht="15.75" customHeight="1">
      <c r="A25" s="17" t="s">
        <v>25</v>
      </c>
      <c r="B25" s="15">
        <v>6</v>
      </c>
    </row>
    <row r="26" spans="1:2" ht="15.75" customHeight="1">
      <c r="A26" s="17" t="s">
        <v>26</v>
      </c>
      <c r="B26" s="15"/>
    </row>
    <row r="27" spans="1:2" ht="15.75" customHeight="1">
      <c r="A27" s="17" t="s">
        <v>28</v>
      </c>
      <c r="B27" s="15"/>
    </row>
    <row r="28" spans="1:2" ht="15.75" customHeight="1">
      <c r="A28" s="17" t="s">
        <v>29</v>
      </c>
      <c r="B28" s="15">
        <v>0.16428571428571428</v>
      </c>
    </row>
    <row r="29" spans="1:2" ht="15.75" customHeight="1">
      <c r="A29" s="17" t="s">
        <v>30</v>
      </c>
      <c r="B29" s="15"/>
    </row>
    <row r="30" spans="1:2" ht="15.75" customHeight="1">
      <c r="A30" s="17" t="s">
        <v>31</v>
      </c>
      <c r="B30" s="15">
        <v>0.47166666666666668</v>
      </c>
    </row>
    <row r="31" spans="1:2" ht="15.75" customHeight="1">
      <c r="A31" s="17" t="s">
        <v>32</v>
      </c>
      <c r="B31" s="15">
        <v>0.35</v>
      </c>
    </row>
    <row r="32" spans="1:2" ht="15.75" customHeight="1">
      <c r="A32" s="17" t="s">
        <v>33</v>
      </c>
      <c r="B32" s="15">
        <v>0.528052805280528</v>
      </c>
    </row>
    <row r="33" spans="1:2" ht="15.75" customHeight="1">
      <c r="A33" s="17" t="s">
        <v>34</v>
      </c>
      <c r="B33" s="15">
        <v>0.43223398629150889</v>
      </c>
    </row>
    <row r="34" spans="1:2" ht="15.75" customHeight="1">
      <c r="A34" s="17" t="s">
        <v>35</v>
      </c>
      <c r="B34" s="15">
        <v>0.60506050605060502</v>
      </c>
    </row>
    <row r="35" spans="1:2" ht="15.75" customHeight="1">
      <c r="A35" s="17" t="s">
        <v>36</v>
      </c>
      <c r="B35" s="15">
        <v>0.33684105565109279</v>
      </c>
    </row>
    <row r="36" spans="1:2" ht="15.75" customHeight="1">
      <c r="A36" s="17" t="s">
        <v>37</v>
      </c>
      <c r="B36" s="15">
        <v>0.32007828166642749</v>
      </c>
    </row>
    <row r="37" spans="1:2" ht="15.75" customHeight="1">
      <c r="A37" s="17" t="s">
        <v>38</v>
      </c>
      <c r="B37" s="15">
        <v>0.35106778454418519</v>
      </c>
    </row>
    <row r="38" spans="1:2" ht="15.75" customHeight="1">
      <c r="A38" s="17" t="s">
        <v>39</v>
      </c>
      <c r="B38" s="15">
        <v>0.73170579805996461</v>
      </c>
    </row>
    <row r="39" spans="1:2" ht="15.75" customHeight="1">
      <c r="A39" s="17" t="s">
        <v>40</v>
      </c>
      <c r="B39" s="15">
        <v>0.81487968117408904</v>
      </c>
    </row>
    <row r="40" spans="1:2" ht="15.75" customHeight="1">
      <c r="A40" s="17" t="s">
        <v>41</v>
      </c>
      <c r="B40" s="15">
        <v>0.92332775919732446</v>
      </c>
    </row>
    <row r="41" spans="1:2" ht="15.75" customHeight="1">
      <c r="A41" s="17" t="s">
        <v>42</v>
      </c>
      <c r="B41" s="15">
        <v>0.64822306277942299</v>
      </c>
    </row>
    <row r="42" spans="1:2" ht="15.75" customHeight="1">
      <c r="A42" s="17" t="s">
        <v>43</v>
      </c>
      <c r="B42" s="15">
        <v>0.73878150924946595</v>
      </c>
    </row>
    <row r="43" spans="1:2" ht="15.75" customHeight="1">
      <c r="A43" s="17" t="s">
        <v>44</v>
      </c>
      <c r="B43" s="15"/>
    </row>
    <row r="44" spans="1:2" ht="15.75" customHeight="1">
      <c r="A44" s="17" t="s">
        <v>45</v>
      </c>
      <c r="B44" s="15">
        <v>1.104866903849663</v>
      </c>
    </row>
    <row r="45" spans="1:2" ht="15.75" customHeight="1">
      <c r="A45" s="17" t="s">
        <v>46</v>
      </c>
      <c r="B45" s="15">
        <v>1.1000000000000001</v>
      </c>
    </row>
    <row r="46" spans="1:2" ht="15.75" customHeight="1">
      <c r="A46" s="17" t="s">
        <v>47</v>
      </c>
      <c r="B46" s="15">
        <v>1.3227513227513228</v>
      </c>
    </row>
    <row r="47" spans="1:2" ht="15.75" customHeight="1">
      <c r="A47" s="17" t="s">
        <v>48</v>
      </c>
      <c r="B47" s="15">
        <v>0.96275755399999996</v>
      </c>
    </row>
    <row r="48" spans="1:2" ht="15.75" customHeight="1">
      <c r="A48" s="17" t="s">
        <v>49</v>
      </c>
      <c r="B48" s="15">
        <v>0.49504950495049505</v>
      </c>
    </row>
    <row r="49" spans="1:2" ht="15.75" customHeight="1">
      <c r="A49" s="17" t="s">
        <v>50</v>
      </c>
      <c r="B49" s="15">
        <v>0.66138599999999992</v>
      </c>
    </row>
    <row r="50" spans="1:2" ht="15.75" customHeight="1">
      <c r="A50" s="17" t="s">
        <v>51</v>
      </c>
      <c r="B50" s="15">
        <v>0.60506050605060502</v>
      </c>
    </row>
    <row r="51" spans="1:2" ht="15.75" customHeight="1">
      <c r="A51" s="17" t="s">
        <v>52</v>
      </c>
      <c r="B51" s="15">
        <v>1.3227513227513228</v>
      </c>
    </row>
    <row r="52" spans="1:2" ht="15.75" customHeight="1">
      <c r="A52" s="17" t="s">
        <v>53</v>
      </c>
      <c r="B52" s="15">
        <v>0.86956985413059174</v>
      </c>
    </row>
    <row r="53" spans="1:2" ht="15.75" customHeight="1">
      <c r="A53" s="17" t="s">
        <v>54</v>
      </c>
      <c r="B53" s="15">
        <v>1.156038700829086</v>
      </c>
    </row>
    <row r="54" spans="1:2" ht="15.75" customHeight="1">
      <c r="A54" s="17" t="s">
        <v>55</v>
      </c>
      <c r="B54" s="15"/>
    </row>
    <row r="55" spans="1:2" ht="15.75" customHeight="1">
      <c r="A55" s="17" t="s">
        <v>56</v>
      </c>
      <c r="B55" s="15">
        <v>4.4400000000000004</v>
      </c>
    </row>
    <row r="56" spans="1:2" ht="15.75" customHeight="1">
      <c r="A56" s="17" t="s">
        <v>57</v>
      </c>
      <c r="B56" s="15">
        <v>4.75</v>
      </c>
    </row>
    <row r="57" spans="1:2" ht="15.75" customHeight="1">
      <c r="A57" s="17" t="s">
        <v>58</v>
      </c>
      <c r="B57" s="15">
        <v>1.1022927689594357</v>
      </c>
    </row>
    <row r="58" spans="1:2" ht="15.75" customHeight="1">
      <c r="A58" s="17" t="s">
        <v>59</v>
      </c>
      <c r="B58" s="15">
        <v>1.0582175999999999</v>
      </c>
    </row>
    <row r="59" spans="1:2" ht="15.75" customHeight="1">
      <c r="A59" s="17" t="s">
        <v>60</v>
      </c>
      <c r="B59" s="15"/>
    </row>
    <row r="60" spans="1:2" ht="15.75" customHeight="1">
      <c r="A60" s="17" t="s">
        <v>62</v>
      </c>
      <c r="B60" s="15">
        <v>0.98064044602351053</v>
      </c>
    </row>
    <row r="61" spans="1:2" ht="15.75" customHeight="1">
      <c r="A61" s="17" t="s">
        <v>63</v>
      </c>
      <c r="B61" s="15"/>
    </row>
    <row r="62" spans="1:2" ht="15.75" customHeight="1">
      <c r="A62" s="17" t="s">
        <v>65</v>
      </c>
      <c r="B62" s="15">
        <v>0.41480133683393272</v>
      </c>
    </row>
    <row r="63" spans="1:2" ht="15.75" customHeight="1">
      <c r="A63" s="17" t="s">
        <v>66</v>
      </c>
      <c r="B63" s="15">
        <v>0.53776509944162121</v>
      </c>
    </row>
    <row r="64" spans="1:2" ht="15.75" customHeight="1">
      <c r="A64" s="17" t="s">
        <v>67</v>
      </c>
      <c r="B64" s="15">
        <v>0.70037027817241393</v>
      </c>
    </row>
    <row r="65" spans="1:2" ht="15.75" customHeight="1">
      <c r="A65" s="17" t="s">
        <v>68</v>
      </c>
      <c r="B65" s="15">
        <v>0.56162968512968514</v>
      </c>
    </row>
    <row r="66" spans="1:2" ht="15.75" customHeight="1">
      <c r="A66" s="17" t="s">
        <v>69</v>
      </c>
      <c r="B66" s="15">
        <v>0.47</v>
      </c>
    </row>
    <row r="67" spans="1:2" ht="15.75" customHeight="1">
      <c r="A67" s="17" t="s">
        <v>70</v>
      </c>
      <c r="B67" s="15">
        <v>0.89</v>
      </c>
    </row>
    <row r="68" spans="1:2" ht="15.75" customHeight="1">
      <c r="A68" s="17" t="s">
        <v>71</v>
      </c>
      <c r="B68" s="15">
        <v>0.4</v>
      </c>
    </row>
    <row r="69" spans="1:2" ht="15.75" customHeight="1">
      <c r="A69" s="17" t="s">
        <v>72</v>
      </c>
      <c r="B69" s="15">
        <v>0.93414497737946489</v>
      </c>
    </row>
    <row r="70" spans="1:2" ht="15.75" customHeight="1">
      <c r="A70" s="17" t="s">
        <v>73</v>
      </c>
      <c r="B70" s="15">
        <v>0.22182432195464111</v>
      </c>
    </row>
    <row r="71" spans="1:2" ht="15.75" customHeight="1">
      <c r="A71" s="17" t="s">
        <v>74</v>
      </c>
      <c r="B71" s="15">
        <v>0.32006448202959831</v>
      </c>
    </row>
    <row r="72" spans="1:2" ht="15.75" customHeight="1">
      <c r="A72" s="17" t="s">
        <v>75</v>
      </c>
      <c r="B72" s="15">
        <v>1.6046002309586971</v>
      </c>
    </row>
    <row r="73" spans="1:2" ht="15.75" customHeight="1">
      <c r="A73" s="17" t="s">
        <v>76</v>
      </c>
      <c r="B73" s="15">
        <v>1.107674386261013</v>
      </c>
    </row>
    <row r="74" spans="1:2" ht="15.75" customHeight="1">
      <c r="A74" s="17" t="s">
        <v>77</v>
      </c>
      <c r="B74" s="15">
        <v>0.93</v>
      </c>
    </row>
    <row r="75" spans="1:2" ht="15.75" customHeight="1">
      <c r="A75" s="17" t="s">
        <v>78</v>
      </c>
      <c r="B75" s="15">
        <v>0.39119187441860465</v>
      </c>
    </row>
    <row r="76" spans="1:2" ht="15.75" customHeight="1">
      <c r="A76" s="17" t="s">
        <v>79</v>
      </c>
      <c r="B76" s="15">
        <v>0.33124999999999999</v>
      </c>
    </row>
    <row r="77" spans="1:2" ht="15.75" customHeight="1">
      <c r="A77" s="17" t="s">
        <v>80</v>
      </c>
      <c r="B77" s="15"/>
    </row>
    <row r="78" spans="1:2" ht="15.75" customHeight="1">
      <c r="A78" s="17" t="s">
        <v>82</v>
      </c>
      <c r="B78" s="15">
        <v>4.5</v>
      </c>
    </row>
    <row r="79" spans="1:2" ht="15.75" customHeight="1">
      <c r="A79" s="17" t="s">
        <v>83</v>
      </c>
      <c r="B79" s="15">
        <v>146.41999999999999</v>
      </c>
    </row>
    <row r="80" spans="1:2" ht="15.75" customHeight="1">
      <c r="A80" s="17" t="s">
        <v>84</v>
      </c>
      <c r="B80" s="15">
        <v>3.3631759259259262</v>
      </c>
    </row>
    <row r="81" spans="1:2" ht="15.75" customHeight="1">
      <c r="A81" s="17" t="s">
        <v>86</v>
      </c>
      <c r="B81" s="15">
        <v>1.788583333333333</v>
      </c>
    </row>
    <row r="82" spans="1:2" ht="15.75" customHeight="1">
      <c r="A82" s="17" t="s">
        <v>87</v>
      </c>
      <c r="B82" s="15">
        <v>1.778966666666667</v>
      </c>
    </row>
    <row r="83" spans="1:2" ht="15.75" customHeight="1">
      <c r="A83" s="17" t="s">
        <v>88</v>
      </c>
      <c r="B83" s="15">
        <v>1.452233333333333</v>
      </c>
    </row>
    <row r="84" spans="1:2" ht="15.75" customHeight="1">
      <c r="A84" s="17" t="s">
        <v>89</v>
      </c>
      <c r="B84" s="15">
        <v>1.5459333333333329</v>
      </c>
    </row>
    <row r="85" spans="1:2" ht="15.75" customHeight="1">
      <c r="A85" s="17" t="s">
        <v>90</v>
      </c>
      <c r="B85" s="15"/>
    </row>
    <row r="86" spans="1:2" ht="15.75" customHeight="1">
      <c r="A86" s="17" t="s">
        <v>92</v>
      </c>
      <c r="B86" s="15">
        <v>0.66500000000000004</v>
      </c>
    </row>
    <row r="87" spans="1:2" ht="15.75" customHeight="1">
      <c r="A87" s="17" t="s">
        <v>93</v>
      </c>
      <c r="B87" s="15">
        <v>1.1991293788513386</v>
      </c>
    </row>
    <row r="88" spans="1:2" ht="15.75" customHeight="1">
      <c r="A88" s="17" t="s">
        <v>94</v>
      </c>
      <c r="B88" s="15"/>
    </row>
    <row r="89" spans="1:2" ht="15.75" customHeight="1">
      <c r="A89" s="17" t="s">
        <v>96</v>
      </c>
      <c r="B89" s="15">
        <v>0.77007700770077003</v>
      </c>
    </row>
    <row r="90" spans="1:2" ht="15.75" customHeight="1">
      <c r="A90" s="17" t="s">
        <v>97</v>
      </c>
      <c r="B90" s="15">
        <v>2.373918926467053</v>
      </c>
    </row>
    <row r="91" spans="1:2" ht="15.75" customHeight="1">
      <c r="A91" s="17" t="s">
        <v>98</v>
      </c>
      <c r="B91" s="15">
        <v>1.6146636879999998</v>
      </c>
    </row>
    <row r="92" spans="1:2" ht="15.75" customHeight="1">
      <c r="A92" s="17" t="s">
        <v>99</v>
      </c>
      <c r="B92" s="15">
        <v>1.8548736727086961</v>
      </c>
    </row>
    <row r="93" spans="1:2" ht="15.75" customHeight="1">
      <c r="A93" s="17" t="s">
        <v>100</v>
      </c>
      <c r="B93" s="15">
        <v>1.9739</v>
      </c>
    </row>
    <row r="94" spans="1:2" ht="15.75" customHeight="1">
      <c r="A94" s="17" t="s">
        <v>101</v>
      </c>
      <c r="B94" s="15">
        <v>2.0661999999999998</v>
      </c>
    </row>
    <row r="95" spans="1:2" ht="15.75" customHeight="1">
      <c r="A95" s="17" t="s">
        <v>102</v>
      </c>
      <c r="B95" s="15">
        <v>1.5432370941286444</v>
      </c>
    </row>
    <row r="96" spans="1:2" ht="15.75" customHeight="1">
      <c r="A96" s="17" t="s">
        <v>103</v>
      </c>
      <c r="B96" s="15">
        <v>88.736132912397039</v>
      </c>
    </row>
    <row r="97" spans="1:2" ht="15.75" customHeight="1">
      <c r="A97" s="17" t="s">
        <v>104</v>
      </c>
      <c r="B97" s="15">
        <v>0.70840000000000003</v>
      </c>
    </row>
    <row r="98" spans="1:2" ht="15.75" customHeight="1">
      <c r="A98" s="17" t="s">
        <v>105</v>
      </c>
      <c r="B98" s="15">
        <v>2.0981000000000001</v>
      </c>
    </row>
    <row r="99" spans="1:2" ht="15.75" customHeight="1">
      <c r="A99" s="17" t="s">
        <v>106</v>
      </c>
      <c r="B99" s="15">
        <v>1.90444605891674</v>
      </c>
    </row>
    <row r="100" spans="1:2" ht="15.75" customHeight="1">
      <c r="A100" s="17" t="s">
        <v>107</v>
      </c>
      <c r="B100" s="15">
        <v>3.5825146827986383</v>
      </c>
    </row>
    <row r="101" spans="1:2" ht="15.75" customHeight="1">
      <c r="A101" s="17" t="s">
        <v>108</v>
      </c>
      <c r="B101" s="15">
        <v>4.1887863983491771</v>
      </c>
    </row>
    <row r="102" spans="1:2" ht="15.75" customHeight="1">
      <c r="A102" s="17" t="s">
        <v>109</v>
      </c>
      <c r="B102" s="15">
        <v>0.67</v>
      </c>
    </row>
    <row r="103" spans="1:2" ht="15.75" customHeight="1">
      <c r="A103" s="17" t="s">
        <v>110</v>
      </c>
      <c r="B103" s="15">
        <v>0.57379999999999998</v>
      </c>
    </row>
    <row r="104" spans="1:2" ht="15.75" customHeight="1">
      <c r="A104" s="17" t="s">
        <v>111</v>
      </c>
      <c r="B104" s="15">
        <v>5.6314166666666674</v>
      </c>
    </row>
    <row r="105" spans="1:2" ht="15.75" customHeight="1">
      <c r="A105" s="17" t="s">
        <v>112</v>
      </c>
      <c r="B105" s="15">
        <v>0</v>
      </c>
    </row>
    <row r="106" spans="1:2" ht="15.75" customHeight="1">
      <c r="A106" s="17" t="s">
        <v>113</v>
      </c>
      <c r="B106" s="15">
        <v>1.9731348999999998</v>
      </c>
    </row>
    <row r="107" spans="1:2" ht="15.75" customHeight="1">
      <c r="A107" s="17" t="s">
        <v>114</v>
      </c>
      <c r="B107" s="15">
        <v>4.5599999999999996</v>
      </c>
    </row>
    <row r="108" spans="1:2" ht="15.75" customHeight="1">
      <c r="A108" s="17" t="s">
        <v>115</v>
      </c>
      <c r="B108" s="15">
        <v>3.4683081840000001</v>
      </c>
    </row>
    <row r="109" spans="1:2" ht="15.75" customHeight="1">
      <c r="A109" s="17" t="s">
        <v>116</v>
      </c>
      <c r="B109" s="15">
        <v>3.45</v>
      </c>
    </row>
    <row r="110" spans="1:2" ht="15.75" customHeight="1">
      <c r="A110" s="17" t="s">
        <v>117</v>
      </c>
      <c r="B110" s="15">
        <v>4.3903982485437592</v>
      </c>
    </row>
    <row r="111" spans="1:2" ht="15.75" customHeight="1">
      <c r="A111" s="17" t="s">
        <v>118</v>
      </c>
      <c r="B111" s="15">
        <v>3.9682539682539684</v>
      </c>
    </row>
    <row r="112" spans="1:2" ht="15.75" customHeight="1">
      <c r="A112" s="17" t="s">
        <v>119</v>
      </c>
      <c r="B112" s="15">
        <v>1.2125220458553791</v>
      </c>
    </row>
    <row r="113" spans="1:2" ht="15.75" customHeight="1">
      <c r="A113" s="17" t="s">
        <v>120</v>
      </c>
      <c r="B113" s="15">
        <v>2.2675378749999999</v>
      </c>
    </row>
    <row r="114" spans="1:2" ht="15.75" customHeight="1">
      <c r="A114" s="17" t="s">
        <v>121</v>
      </c>
      <c r="B114" s="15">
        <v>0</v>
      </c>
    </row>
    <row r="115" spans="1:2" ht="15.75" customHeight="1">
      <c r="A115" s="17" t="s">
        <v>122</v>
      </c>
      <c r="B115" s="15">
        <v>1.2813000000000001</v>
      </c>
    </row>
    <row r="116" spans="1:2" ht="15.75" customHeight="1">
      <c r="A116" s="17" t="s">
        <v>123</v>
      </c>
      <c r="B116" s="15">
        <v>1.2866162319999999</v>
      </c>
    </row>
    <row r="117" spans="1:2" ht="15.75" customHeight="1">
      <c r="A117" s="17" t="s">
        <v>124</v>
      </c>
      <c r="B117" s="15">
        <v>0.48018016921036638</v>
      </c>
    </row>
    <row r="118" spans="1:2" ht="15.75" customHeight="1">
      <c r="A118" s="17" t="s">
        <v>125</v>
      </c>
      <c r="B118" s="15">
        <v>1.6611661166116611</v>
      </c>
    </row>
    <row r="119" spans="1:2" ht="15.75" customHeight="1">
      <c r="A119" s="17" t="s">
        <v>126</v>
      </c>
      <c r="B119" s="15">
        <v>1.6611661166116611</v>
      </c>
    </row>
    <row r="120" spans="1:2" ht="15.75" customHeight="1">
      <c r="A120" s="17" t="s">
        <v>127</v>
      </c>
      <c r="B120" s="15"/>
    </row>
    <row r="121" spans="1:2" ht="15.75" customHeight="1">
      <c r="A121" s="17" t="s">
        <v>129</v>
      </c>
      <c r="B121" s="15">
        <v>0.38503850385038502</v>
      </c>
    </row>
    <row r="122" spans="1:2" ht="15.75" customHeight="1">
      <c r="A122" s="17" t="s">
        <v>130</v>
      </c>
      <c r="B122" s="15">
        <v>3.04E-2</v>
      </c>
    </row>
    <row r="123" spans="1:2" ht="15.75" customHeight="1">
      <c r="A123" s="17" t="s">
        <v>131</v>
      </c>
      <c r="B123" s="15">
        <v>1.6810227499999997</v>
      </c>
    </row>
    <row r="124" spans="1:2" ht="15.75" customHeight="1">
      <c r="A124" s="17" t="s">
        <v>132</v>
      </c>
      <c r="B124" s="15">
        <v>0.20499999999999999</v>
      </c>
    </row>
    <row r="125" spans="1:2" ht="15.75" customHeight="1">
      <c r="A125" s="17" t="s">
        <v>133</v>
      </c>
      <c r="B125" s="15">
        <v>0.121012101210121</v>
      </c>
    </row>
    <row r="126" spans="1:2" ht="15.75" customHeight="1">
      <c r="A126" s="17" t="s">
        <v>134</v>
      </c>
      <c r="B126" s="15">
        <v>1.6776677667766775</v>
      </c>
    </row>
    <row r="127" spans="1:2" ht="15.75" customHeight="1">
      <c r="A127" s="17" t="s">
        <v>135</v>
      </c>
      <c r="B127" s="15">
        <v>0.20499999999999999</v>
      </c>
    </row>
    <row r="128" spans="1:2" ht="15.75" customHeight="1">
      <c r="A128" s="17" t="s">
        <v>136</v>
      </c>
      <c r="B128" s="15">
        <v>0.20499999999999999</v>
      </c>
    </row>
    <row r="129" spans="1:2" ht="15.75" customHeight="1">
      <c r="A129" s="17" t="s">
        <v>137</v>
      </c>
      <c r="B129" s="15">
        <v>0.34190476190476188</v>
      </c>
    </row>
    <row r="130" spans="1:2" ht="15.75" customHeight="1">
      <c r="A130" s="17" t="s">
        <v>138</v>
      </c>
      <c r="B130" s="15">
        <v>2.5000541997955108</v>
      </c>
    </row>
    <row r="131" spans="1:2" ht="15.75" customHeight="1">
      <c r="A131" s="17" t="s">
        <v>139</v>
      </c>
      <c r="B131" s="15">
        <v>3.5049999999999998E-2</v>
      </c>
    </row>
    <row r="132" spans="1:2" ht="15.75" customHeight="1">
      <c r="A132" s="17" t="s">
        <v>140</v>
      </c>
      <c r="B132" s="15">
        <v>6.7796000000000003</v>
      </c>
    </row>
    <row r="133" spans="1:2" ht="15.75" customHeight="1">
      <c r="A133" s="17" t="s">
        <v>141</v>
      </c>
      <c r="B133" s="15">
        <v>2.38</v>
      </c>
    </row>
    <row r="134" spans="1:2" ht="15.75" customHeight="1">
      <c r="A134" s="17" t="s">
        <v>142</v>
      </c>
      <c r="B134" s="15">
        <v>6.24</v>
      </c>
    </row>
    <row r="135" spans="1:2" ht="15.75" customHeight="1">
      <c r="A135" s="17" t="s">
        <v>143</v>
      </c>
      <c r="B135" s="15"/>
    </row>
    <row r="136" spans="1:2" ht="15.75" customHeight="1">
      <c r="A136" s="17" t="s">
        <v>145</v>
      </c>
      <c r="B136" s="15">
        <v>1.045104510451045</v>
      </c>
    </row>
    <row r="137" spans="1:2" ht="15.75" customHeight="1">
      <c r="A137" s="17" t="s">
        <v>146</v>
      </c>
      <c r="B137" s="15">
        <v>0.51235416666666667</v>
      </c>
    </row>
    <row r="138" spans="1:2" ht="15.75" customHeight="1">
      <c r="A138" s="17" t="s">
        <v>147</v>
      </c>
      <c r="B138" s="15">
        <v>0.82673249999999987</v>
      </c>
    </row>
    <row r="139" spans="1:2" ht="15.75" customHeight="1">
      <c r="A139" s="17" t="s">
        <v>148</v>
      </c>
      <c r="B139" s="15">
        <v>0.16501650165016502</v>
      </c>
    </row>
    <row r="140" spans="1:2" ht="15.75" customHeight="1">
      <c r="A140" s="17" t="s">
        <v>149</v>
      </c>
      <c r="B140" s="15">
        <v>0.77282793716699971</v>
      </c>
    </row>
    <row r="141" spans="1:2" ht="15.75" customHeight="1">
      <c r="A141" s="17" t="s">
        <v>150</v>
      </c>
      <c r="B141" s="15">
        <v>0.52528025302530246</v>
      </c>
    </row>
    <row r="142" spans="1:2" ht="15.75" customHeight="1">
      <c r="A142" s="17" t="s">
        <v>151</v>
      </c>
      <c r="B142" s="15">
        <v>0.41554364212176709</v>
      </c>
    </row>
    <row r="143" spans="1:2" ht="15.75" customHeight="1">
      <c r="A143" s="17" t="s">
        <v>152</v>
      </c>
      <c r="B143" s="15">
        <v>0.46798079959256428</v>
      </c>
    </row>
    <row r="144" spans="1:2" ht="15.75" customHeight="1">
      <c r="A144" s="17" t="s">
        <v>153</v>
      </c>
      <c r="B144" s="15">
        <v>0.52482407953998866</v>
      </c>
    </row>
    <row r="145" spans="1:2" ht="15.75" customHeight="1">
      <c r="A145" s="17" t="s">
        <v>154</v>
      </c>
      <c r="B145" s="15">
        <v>0.36730507503866677</v>
      </c>
    </row>
    <row r="146" spans="1:2" ht="15.75" customHeight="1">
      <c r="A146" s="17" t="s">
        <v>155</v>
      </c>
      <c r="B146" s="15">
        <v>0.33003300330033003</v>
      </c>
    </row>
    <row r="147" spans="1:2" ht="15.75" customHeight="1">
      <c r="A147" s="17" t="s">
        <v>156</v>
      </c>
      <c r="B147" s="15">
        <v>0.55315957190957188</v>
      </c>
    </row>
    <row r="148" spans="1:2" ht="15.75" customHeight="1">
      <c r="A148" s="17" t="s">
        <v>157</v>
      </c>
      <c r="B148" s="15">
        <v>0.52910879999999993</v>
      </c>
    </row>
    <row r="149" spans="1:2" ht="15.75" customHeight="1">
      <c r="A149" s="17" t="s">
        <v>158</v>
      </c>
      <c r="B149" s="15">
        <v>0.43844166666666667</v>
      </c>
    </row>
    <row r="150" spans="1:2" ht="15.75" customHeight="1">
      <c r="A150" s="17" t="s">
        <v>159</v>
      </c>
      <c r="B150" s="15">
        <v>0.27502750275027499</v>
      </c>
    </row>
    <row r="151" spans="1:2" ht="15.75" customHeight="1">
      <c r="A151" s="17" t="s">
        <v>160</v>
      </c>
      <c r="B151" s="15">
        <v>0.27557749999999998</v>
      </c>
    </row>
    <row r="152" spans="1:2" ht="15.75" customHeight="1">
      <c r="A152" s="17" t="s">
        <v>161</v>
      </c>
      <c r="B152" s="15">
        <v>1.9416</v>
      </c>
    </row>
    <row r="153" spans="1:2" ht="15.75" customHeight="1">
      <c r="A153" s="17" t="s">
        <v>162</v>
      </c>
      <c r="B153" s="15">
        <v>2.3940333333333328</v>
      </c>
    </row>
    <row r="154" spans="1:2" ht="15.75" customHeight="1">
      <c r="A154" s="17" t="s">
        <v>163</v>
      </c>
      <c r="B154" s="15">
        <v>1.973347851421307</v>
      </c>
    </row>
    <row r="155" spans="1:2" ht="15.75" customHeight="1">
      <c r="A155" s="17" t="s">
        <v>164</v>
      </c>
      <c r="B155" s="15"/>
    </row>
    <row r="156" spans="1:2" ht="15.75" customHeight="1">
      <c r="A156" s="17" t="s">
        <v>166</v>
      </c>
      <c r="B156" s="15">
        <v>0.56105610561056107</v>
      </c>
    </row>
    <row r="157" spans="1:2" ht="15.75" customHeight="1">
      <c r="A157" s="17" t="s">
        <v>167</v>
      </c>
      <c r="B157" s="15">
        <v>2.6486111111111112</v>
      </c>
    </row>
    <row r="158" spans="1:2" ht="15.75" customHeight="1">
      <c r="A158" s="17" t="s">
        <v>168</v>
      </c>
      <c r="B158" s="15">
        <v>0.31494571428571422</v>
      </c>
    </row>
    <row r="159" spans="1:2" ht="15.75" customHeight="1">
      <c r="A159" s="17" t="s">
        <v>169</v>
      </c>
      <c r="B159" s="15">
        <v>0.16501650165016502</v>
      </c>
    </row>
    <row r="160" spans="1:2" ht="15.75" customHeight="1">
      <c r="A160" s="17" t="s">
        <v>170</v>
      </c>
      <c r="B160" s="15">
        <v>0.55000000000000004</v>
      </c>
    </row>
    <row r="161" spans="1:2" ht="15.75" customHeight="1">
      <c r="A161" s="17" t="s">
        <v>171</v>
      </c>
      <c r="B161" s="15">
        <v>5.47</v>
      </c>
    </row>
    <row r="162" spans="1:2" ht="15.75" customHeight="1">
      <c r="A162" s="17" t="s">
        <v>172</v>
      </c>
      <c r="B162" s="15">
        <v>0.82</v>
      </c>
    </row>
    <row r="163" spans="1:2" ht="15.75" customHeight="1">
      <c r="A163" s="17" t="s">
        <v>173</v>
      </c>
      <c r="B163" s="15">
        <v>0.31</v>
      </c>
    </row>
    <row r="164" spans="1:2" ht="15.75" customHeight="1">
      <c r="A164" s="17" t="s">
        <v>174</v>
      </c>
      <c r="B164" s="15">
        <v>0.82</v>
      </c>
    </row>
    <row r="165" spans="1:2" ht="15.75" customHeight="1">
      <c r="A165" s="17" t="s">
        <v>175</v>
      </c>
      <c r="B165" s="15"/>
    </row>
    <row r="166" spans="1:2" ht="15.75" customHeight="1">
      <c r="A166" s="17" t="s">
        <v>177</v>
      </c>
      <c r="B166" s="15">
        <v>0.20800608818265071</v>
      </c>
    </row>
    <row r="167" spans="1:2" ht="15.75" customHeight="1">
      <c r="A167" s="17" t="s">
        <v>178</v>
      </c>
      <c r="B167" s="15">
        <v>0.08</v>
      </c>
    </row>
    <row r="168" spans="1:2" ht="15.75" customHeight="1">
      <c r="A168" s="17" t="s">
        <v>179</v>
      </c>
      <c r="B168" s="15">
        <v>6.24</v>
      </c>
    </row>
    <row r="169" spans="1:2" ht="15.75" customHeight="1">
      <c r="A169" s="17" t="s">
        <v>180</v>
      </c>
      <c r="B169" s="15">
        <v>4.78</v>
      </c>
    </row>
    <row r="170" spans="1:2" ht="15.75" customHeight="1">
      <c r="A170" s="17" t="s">
        <v>181</v>
      </c>
      <c r="B170" s="15"/>
    </row>
    <row r="171" spans="1:2" ht="15.75" customHeight="1">
      <c r="A171" s="17" t="s">
        <v>183</v>
      </c>
      <c r="B171" s="15">
        <v>6.24</v>
      </c>
    </row>
    <row r="172" spans="1:2" ht="15.75" customHeight="1">
      <c r="A172" s="17" t="s">
        <v>184</v>
      </c>
      <c r="B172" s="15">
        <v>6.24</v>
      </c>
    </row>
    <row r="173" spans="1:2" ht="15.75" customHeight="1">
      <c r="A173" s="17" t="s">
        <v>185</v>
      </c>
      <c r="B173" s="15"/>
    </row>
    <row r="174" spans="1:2" ht="15.75" customHeight="1">
      <c r="A174" s="17" t="s">
        <v>186</v>
      </c>
      <c r="B174" s="15">
        <v>0.93696349999999984</v>
      </c>
    </row>
    <row r="175" spans="1:2" ht="15.75" customHeight="1">
      <c r="A175" s="17" t="s">
        <v>187</v>
      </c>
      <c r="B175" s="15">
        <v>0.93509350935093505</v>
      </c>
    </row>
    <row r="176" spans="1:2" ht="15.75" customHeight="1">
      <c r="A176" s="17" t="s">
        <v>188</v>
      </c>
      <c r="B176" s="15">
        <v>0.64708333333333334</v>
      </c>
    </row>
    <row r="177" spans="1:2" ht="15.75" customHeight="1">
      <c r="A177" s="17" t="s">
        <v>189</v>
      </c>
      <c r="B177" s="15">
        <v>6.24</v>
      </c>
    </row>
    <row r="178" spans="1:2" ht="15.75" customHeight="1">
      <c r="A178" s="17" t="s">
        <v>190</v>
      </c>
      <c r="B178" s="15">
        <v>3</v>
      </c>
    </row>
    <row r="179" spans="1:2" ht="15.75" customHeight="1">
      <c r="A179" s="17" t="s">
        <v>191</v>
      </c>
      <c r="B179" s="15">
        <v>0.80167999999999995</v>
      </c>
    </row>
    <row r="180" spans="1:2" ht="15.75" customHeight="1">
      <c r="A180" s="17" t="s">
        <v>192</v>
      </c>
      <c r="B180" s="15">
        <v>1.2746270816172129</v>
      </c>
    </row>
    <row r="181" spans="1:2" ht="15.75" customHeight="1">
      <c r="A181" s="17" t="s">
        <v>193</v>
      </c>
      <c r="B181" s="15">
        <v>0.74833333333333329</v>
      </c>
    </row>
    <row r="182" spans="1:2" ht="15.75" customHeight="1">
      <c r="A182" s="17" t="s">
        <v>194</v>
      </c>
      <c r="B182" s="15">
        <v>1.759981920879667</v>
      </c>
    </row>
    <row r="183" spans="1:2" ht="15.75" customHeight="1">
      <c r="A183" s="17" t="s">
        <v>195</v>
      </c>
      <c r="B183" s="15">
        <v>0.91217611200169335</v>
      </c>
    </row>
    <row r="184" spans="1:2" ht="15.75" customHeight="1">
      <c r="A184" s="17" t="s">
        <v>196</v>
      </c>
      <c r="B184" s="15">
        <v>0.46130145139288681</v>
      </c>
    </row>
    <row r="185" spans="1:2" ht="15.75" customHeight="1">
      <c r="A185" s="17" t="s">
        <v>197</v>
      </c>
      <c r="B185" s="15">
        <v>1.1574255</v>
      </c>
    </row>
    <row r="186" spans="1:2" ht="15.75" customHeight="1">
      <c r="A186" s="17" t="s">
        <v>198</v>
      </c>
      <c r="B186" s="15">
        <v>2.4250440917107583</v>
      </c>
    </row>
    <row r="187" spans="1:2" ht="15.75" customHeight="1">
      <c r="A187" s="17" t="s">
        <v>199</v>
      </c>
      <c r="B187" s="15">
        <v>1.069166666666667</v>
      </c>
    </row>
    <row r="188" spans="1:2" ht="15.75" customHeight="1">
      <c r="A188" s="17" t="s">
        <v>200</v>
      </c>
      <c r="B188" s="15">
        <v>2.4250820000000002</v>
      </c>
    </row>
    <row r="189" spans="1:2" ht="15.75" customHeight="1">
      <c r="A189" s="17" t="s">
        <v>201</v>
      </c>
      <c r="B189" s="15">
        <v>1.4330058731194555</v>
      </c>
    </row>
    <row r="190" spans="1:2" ht="15.75" customHeight="1">
      <c r="A190" s="17" t="s">
        <v>202</v>
      </c>
      <c r="B190" s="15">
        <v>1.7374903846153851</v>
      </c>
    </row>
    <row r="191" spans="1:2" ht="15.75" customHeight="1">
      <c r="A191" s="17" t="s">
        <v>203</v>
      </c>
      <c r="B191" s="15">
        <v>1.810008549943646</v>
      </c>
    </row>
    <row r="192" spans="1:2" ht="15.75" customHeight="1">
      <c r="A192" s="17" t="s">
        <v>204</v>
      </c>
      <c r="B192" s="15">
        <v>1.296574363670518</v>
      </c>
    </row>
    <row r="193" spans="1:2" ht="15.75" customHeight="1">
      <c r="A193" s="17" t="s">
        <v>205</v>
      </c>
      <c r="B193" s="15">
        <v>1.1574255</v>
      </c>
    </row>
    <row r="194" spans="1:2" ht="15.75" customHeight="1">
      <c r="A194" s="17" t="s">
        <v>206</v>
      </c>
      <c r="B194" s="15">
        <v>1.1551155115511551</v>
      </c>
    </row>
    <row r="195" spans="1:2" ht="15.75" customHeight="1">
      <c r="A195" s="17" t="s">
        <v>207</v>
      </c>
      <c r="B195" s="15">
        <v>2.4250440917107583</v>
      </c>
    </row>
    <row r="196" spans="1:2" ht="15.75" customHeight="1">
      <c r="A196" s="17" t="s">
        <v>208</v>
      </c>
      <c r="B196" s="15">
        <v>0.55333333333333334</v>
      </c>
    </row>
    <row r="197" spans="1:2" ht="15.75" customHeight="1">
      <c r="A197" s="17" t="s">
        <v>209</v>
      </c>
      <c r="B197" s="15">
        <v>1.0038524582413471</v>
      </c>
    </row>
    <row r="198" spans="1:2" ht="15.75" customHeight="1">
      <c r="A198" s="17" t="s">
        <v>210</v>
      </c>
      <c r="B198" s="15">
        <v>0.6544614167578453</v>
      </c>
    </row>
    <row r="199" spans="1:2" ht="15.75" customHeight="1">
      <c r="A199" s="17" t="s">
        <v>211</v>
      </c>
      <c r="B199" s="15">
        <v>0.47607109788359792</v>
      </c>
    </row>
    <row r="200" spans="1:2" ht="15.75" customHeight="1">
      <c r="A200" s="17" t="s">
        <v>212</v>
      </c>
      <c r="B200" s="15">
        <v>1.4683680878127596</v>
      </c>
    </row>
    <row r="201" spans="1:2" ht="15.75" customHeight="1">
      <c r="A201" s="17" t="s">
        <v>213</v>
      </c>
      <c r="B201" s="15">
        <v>1.7636959999999999</v>
      </c>
    </row>
    <row r="202" spans="1:2" ht="15.75" customHeight="1">
      <c r="A202" s="17" t="s">
        <v>214</v>
      </c>
      <c r="B202" s="15">
        <v>2.7557805252297221</v>
      </c>
    </row>
    <row r="203" spans="1:2" ht="15.75" customHeight="1">
      <c r="A203" s="17" t="s">
        <v>215</v>
      </c>
      <c r="B203" s="15">
        <v>1.8595999999999999</v>
      </c>
    </row>
    <row r="204" spans="1:2" ht="15.75" customHeight="1">
      <c r="A204" s="17" t="s">
        <v>216</v>
      </c>
      <c r="B204" s="15">
        <v>1.8595999999999999</v>
      </c>
    </row>
    <row r="205" spans="1:2" ht="15.75" customHeight="1">
      <c r="A205" s="17" t="s">
        <v>217</v>
      </c>
      <c r="B205" s="15">
        <v>1.8595999999999999</v>
      </c>
    </row>
    <row r="206" spans="1:2" ht="15.75" customHeight="1">
      <c r="A206" s="17" t="s">
        <v>218</v>
      </c>
      <c r="B206" s="15">
        <v>6.58</v>
      </c>
    </row>
    <row r="207" spans="1:2" ht="15.75" customHeight="1">
      <c r="A207" s="17" t="s">
        <v>219</v>
      </c>
      <c r="B207" s="15">
        <v>6.24</v>
      </c>
    </row>
    <row r="208" spans="1:2" ht="15.75" customHeight="1">
      <c r="A208" s="17" t="s">
        <v>220</v>
      </c>
      <c r="B208" s="15">
        <v>6.24</v>
      </c>
    </row>
    <row r="209" spans="1:2" ht="15.75" customHeight="1">
      <c r="A209" s="17" t="s">
        <v>221</v>
      </c>
      <c r="B209" s="15"/>
    </row>
    <row r="210" spans="1:2" ht="15.75" customHeight="1">
      <c r="A210" s="17" t="s">
        <v>222</v>
      </c>
      <c r="B210" s="15">
        <v>1.3661402740777751</v>
      </c>
    </row>
    <row r="211" spans="1:2" ht="15.75" customHeight="1">
      <c r="A211" s="17" t="s">
        <v>223</v>
      </c>
      <c r="B211" s="15">
        <v>1</v>
      </c>
    </row>
    <row r="212" spans="1:2" ht="15.75" customHeight="1">
      <c r="A212" s="17" t="s">
        <v>224</v>
      </c>
      <c r="B212" s="15">
        <v>1.0071428571428571</v>
      </c>
    </row>
    <row r="213" spans="1:2" ht="15.75" customHeight="1">
      <c r="A213" s="17" t="s">
        <v>225</v>
      </c>
      <c r="B213" s="15">
        <v>0.1</v>
      </c>
    </row>
    <row r="214" spans="1:2" ht="15.75" customHeight="1">
      <c r="A214" s="17" t="s">
        <v>226</v>
      </c>
      <c r="B214" s="15">
        <v>6.65</v>
      </c>
    </row>
    <row r="215" spans="1:2" ht="15.75" customHeight="1">
      <c r="A215" s="17" t="s">
        <v>227</v>
      </c>
      <c r="B215" s="15">
        <v>1.7741352258852261</v>
      </c>
    </row>
    <row r="216" spans="1:2" ht="15.75" customHeight="1">
      <c r="A216" s="17" t="s">
        <v>228</v>
      </c>
      <c r="B216" s="15">
        <v>1.7741</v>
      </c>
    </row>
    <row r="217" spans="1:2" ht="15.75" customHeight="1">
      <c r="A217" s="17" t="s">
        <v>229</v>
      </c>
      <c r="B217" s="15">
        <v>2.4250440917107583</v>
      </c>
    </row>
    <row r="218" spans="1:2" ht="15.75" customHeight="1">
      <c r="A218" s="17" t="s">
        <v>230</v>
      </c>
      <c r="B218" s="15">
        <v>1.1574255</v>
      </c>
    </row>
    <row r="219" spans="1:2" ht="15.75" customHeight="1">
      <c r="A219" s="17" t="s">
        <v>231</v>
      </c>
      <c r="B219" s="15">
        <v>3.8029771248170166</v>
      </c>
    </row>
    <row r="220" spans="1:2" ht="15.75" customHeight="1">
      <c r="A220" s="17" t="s">
        <v>232</v>
      </c>
      <c r="B220" s="15">
        <v>1.1243562</v>
      </c>
    </row>
    <row r="221" spans="1:2" ht="15.75" customHeight="1">
      <c r="A221" s="17" t="s">
        <v>233</v>
      </c>
      <c r="B221" s="15">
        <v>1.1221122112211221</v>
      </c>
    </row>
    <row r="222" spans="1:2" ht="15.75" customHeight="1">
      <c r="A222" s="17" t="s">
        <v>234</v>
      </c>
      <c r="B222" s="15">
        <v>2.4250440917107583</v>
      </c>
    </row>
    <row r="223" spans="1:2" ht="15.75" customHeight="1">
      <c r="A223" s="17" t="s">
        <v>235</v>
      </c>
      <c r="B223" s="15">
        <v>0.31791157315831092</v>
      </c>
    </row>
    <row r="224" spans="1:2" ht="15.75" customHeight="1">
      <c r="A224" s="17" t="s">
        <v>236</v>
      </c>
      <c r="B224" s="15">
        <v>0.94</v>
      </c>
    </row>
    <row r="225" spans="1:2" ht="15.75" customHeight="1">
      <c r="A225" s="17" t="s">
        <v>237</v>
      </c>
      <c r="B225" s="15">
        <v>1.34</v>
      </c>
    </row>
    <row r="226" spans="1:2" ht="15.75" customHeight="1">
      <c r="A226" s="17" t="s">
        <v>238</v>
      </c>
      <c r="B226" s="15">
        <v>1.6733333333333329</v>
      </c>
    </row>
    <row r="227" spans="1:2" ht="15.75" customHeight="1">
      <c r="A227" s="17" t="s">
        <v>239</v>
      </c>
      <c r="B227" s="15">
        <v>0.81727272727272726</v>
      </c>
    </row>
    <row r="228" spans="1:2" ht="15.75" customHeight="1">
      <c r="A228" s="17" t="s">
        <v>240</v>
      </c>
      <c r="B228" s="15">
        <v>0.84150000000000003</v>
      </c>
    </row>
    <row r="229" spans="1:2" ht="15.75" customHeight="1">
      <c r="A229" s="17" t="s">
        <v>241</v>
      </c>
      <c r="B229" s="15">
        <v>6.24</v>
      </c>
    </row>
    <row r="230" spans="1:2" ht="15.75" customHeight="1">
      <c r="A230" s="17" t="s">
        <v>242</v>
      </c>
      <c r="B230" s="15"/>
    </row>
    <row r="231" spans="1:2" ht="15.75" customHeight="1">
      <c r="A231" s="17" t="s">
        <v>244</v>
      </c>
      <c r="B231" s="15">
        <v>0.8</v>
      </c>
    </row>
    <row r="232" spans="1:2" ht="15.75" customHeight="1">
      <c r="A232" s="17" t="s">
        <v>245</v>
      </c>
      <c r="B232" s="15"/>
    </row>
    <row r="233" spans="1:2" ht="15.75" customHeight="1">
      <c r="A233" s="17" t="s">
        <v>247</v>
      </c>
      <c r="B233" s="15"/>
    </row>
    <row r="234" spans="1:2" ht="15.75" customHeight="1">
      <c r="A234" s="17" t="s">
        <v>249</v>
      </c>
      <c r="B234" s="15"/>
    </row>
    <row r="235" spans="1:2" ht="15.75" customHeight="1">
      <c r="A235" s="17" t="s">
        <v>251</v>
      </c>
      <c r="B235" s="15"/>
    </row>
    <row r="236" spans="1:2" ht="15.75" customHeight="1">
      <c r="A236" s="17" t="s">
        <v>253</v>
      </c>
      <c r="B236" s="15"/>
    </row>
    <row r="237" spans="1:2" ht="15.75" customHeight="1">
      <c r="A237" s="17" t="s">
        <v>254</v>
      </c>
      <c r="B237" s="15">
        <v>0.10151</v>
      </c>
    </row>
    <row r="238" spans="1:2" ht="15.75" customHeight="1">
      <c r="A238" s="17" t="s">
        <v>255</v>
      </c>
      <c r="B238" s="15">
        <v>9.7706666666666664E-2</v>
      </c>
    </row>
    <row r="239" spans="1:2" ht="15.75" customHeight="1">
      <c r="A239" s="17" t="s">
        <v>256</v>
      </c>
      <c r="B239" s="15">
        <v>9.2989999999999989E-2</v>
      </c>
    </row>
    <row r="240" spans="1:2" ht="15.75" customHeight="1">
      <c r="A240" s="17" t="s">
        <v>257</v>
      </c>
      <c r="B240" s="15">
        <v>6.24</v>
      </c>
    </row>
    <row r="241" spans="1:2" ht="15.75" customHeight="1">
      <c r="A241" s="17" t="s">
        <v>258</v>
      </c>
      <c r="B241" s="15">
        <v>6.23</v>
      </c>
    </row>
    <row r="242" spans="1:2" ht="15.75" customHeight="1">
      <c r="A242" s="17" t="s">
        <v>259</v>
      </c>
      <c r="B242" s="15">
        <v>1.6534649999999997</v>
      </c>
    </row>
    <row r="243" spans="1:2" ht="15.75" customHeight="1">
      <c r="A243" s="17" t="s">
        <v>260</v>
      </c>
      <c r="B243" s="15">
        <v>20</v>
      </c>
    </row>
    <row r="244" spans="1:2" ht="15.75" customHeight="1">
      <c r="A244" s="17" t="s">
        <v>261</v>
      </c>
      <c r="B244" s="15">
        <v>0.66138599999999992</v>
      </c>
    </row>
    <row r="245" spans="1:2" ht="15.75" customHeight="1">
      <c r="A245" s="17" t="s">
        <v>262</v>
      </c>
      <c r="B245" s="15"/>
    </row>
    <row r="246" spans="1:2" ht="15.75" customHeight="1">
      <c r="A246" s="17" t="s">
        <v>264</v>
      </c>
      <c r="B246" s="15">
        <v>0.44130000000000003</v>
      </c>
    </row>
    <row r="247" spans="1:2" ht="15.75" customHeight="1">
      <c r="A247" s="17" t="s">
        <v>265</v>
      </c>
      <c r="B247" s="15"/>
    </row>
    <row r="248" spans="1:2" ht="15.75" customHeight="1">
      <c r="A248" s="17" t="s">
        <v>267</v>
      </c>
      <c r="B248" s="15"/>
    </row>
    <row r="249" spans="1:2" ht="15.75" customHeight="1">
      <c r="A249" s="17" t="s">
        <v>269</v>
      </c>
      <c r="B249" s="15"/>
    </row>
    <row r="250" spans="1:2" ht="15.75" customHeight="1">
      <c r="A250" s="17" t="s">
        <v>271</v>
      </c>
      <c r="B250" s="15">
        <v>0.505</v>
      </c>
    </row>
    <row r="251" spans="1:2" ht="15.75" customHeight="1">
      <c r="A251" s="17" t="s">
        <v>272</v>
      </c>
      <c r="B251" s="15">
        <v>0.23803763728220251</v>
      </c>
    </row>
    <row r="252" spans="1:2" ht="15.75" customHeight="1">
      <c r="A252" s="17" t="s">
        <v>273</v>
      </c>
      <c r="B252" s="15">
        <v>1.770257526564345</v>
      </c>
    </row>
    <row r="253" spans="1:2" ht="15.75" customHeight="1">
      <c r="A253" s="17" t="s">
        <v>274</v>
      </c>
      <c r="B253" s="15">
        <v>1.7795692639999998</v>
      </c>
    </row>
    <row r="254" spans="1:2" ht="15.75" customHeight="1">
      <c r="A254" s="17" t="s">
        <v>275</v>
      </c>
      <c r="B254" s="15">
        <v>5.65</v>
      </c>
    </row>
    <row r="255" spans="1:2" ht="15.75" customHeight="1">
      <c r="A255" s="17" t="s">
        <v>276</v>
      </c>
      <c r="B255" s="15"/>
    </row>
    <row r="256" spans="1:2" ht="15.75" customHeight="1">
      <c r="A256" s="17" t="s">
        <v>278</v>
      </c>
      <c r="B256" s="15">
        <v>2.2486772486772488</v>
      </c>
    </row>
    <row r="257" spans="1:2" ht="15.75" customHeight="1">
      <c r="A257" s="17" t="s">
        <v>279</v>
      </c>
      <c r="B257" s="15">
        <v>0.69024130472886103</v>
      </c>
    </row>
    <row r="258" spans="1:2" ht="15.75" customHeight="1">
      <c r="A258" s="17" t="s">
        <v>280</v>
      </c>
      <c r="B258" s="15">
        <v>0.77700000000000002</v>
      </c>
    </row>
    <row r="259" spans="1:2" ht="15.75" customHeight="1">
      <c r="A259" s="17" t="s">
        <v>281</v>
      </c>
      <c r="B259" s="15">
        <v>0.77700000000000002</v>
      </c>
    </row>
    <row r="260" spans="1:2" ht="15.75" customHeight="1">
      <c r="A260" s="17" t="s">
        <v>282</v>
      </c>
      <c r="B260" s="15">
        <v>0.79675388635284483</v>
      </c>
    </row>
    <row r="261" spans="1:2" ht="15.75" customHeight="1">
      <c r="A261" s="17" t="s">
        <v>283</v>
      </c>
      <c r="B261" s="15">
        <v>6.24</v>
      </c>
    </row>
    <row r="262" spans="1:2" ht="15.75" customHeight="1">
      <c r="A262" s="17" t="s">
        <v>284</v>
      </c>
      <c r="B262" s="15">
        <v>4.4092399999999996</v>
      </c>
    </row>
    <row r="263" spans="1:2" ht="15.75" customHeight="1">
      <c r="A263" s="17" t="s">
        <v>285</v>
      </c>
      <c r="B263" s="15">
        <v>6.24</v>
      </c>
    </row>
    <row r="264" spans="1:2" ht="15.75" customHeight="1">
      <c r="A264" s="17" t="s">
        <v>286</v>
      </c>
      <c r="B264" s="15">
        <v>6.24</v>
      </c>
    </row>
    <row r="265" spans="1:2" ht="15.75" customHeight="1">
      <c r="A265" s="17" t="s">
        <v>287</v>
      </c>
      <c r="B265" s="15"/>
    </row>
    <row r="266" spans="1:2" ht="15.75" customHeight="1">
      <c r="A266" s="17" t="s">
        <v>290</v>
      </c>
      <c r="B266" s="15">
        <v>0.29924129188311682</v>
      </c>
    </row>
    <row r="267" spans="1:2" ht="15.75" customHeight="1">
      <c r="A267" s="17" t="s">
        <v>291</v>
      </c>
      <c r="B267" s="15">
        <v>0.35</v>
      </c>
    </row>
    <row r="268" spans="1:2" ht="15.75" customHeight="1">
      <c r="A268" s="17" t="s">
        <v>292</v>
      </c>
      <c r="B268" s="15">
        <v>0.32765127725563908</v>
      </c>
    </row>
    <row r="269" spans="1:2" ht="15.75" customHeight="1">
      <c r="A269" s="17" t="s">
        <v>293</v>
      </c>
      <c r="B269" s="15">
        <v>0.4713106265262515</v>
      </c>
    </row>
    <row r="270" spans="1:2" ht="15.75" customHeight="1">
      <c r="A270" s="17" t="s">
        <v>294</v>
      </c>
      <c r="B270" s="15">
        <v>0.39280759250113179</v>
      </c>
    </row>
    <row r="271" spans="1:2" ht="15.75" customHeight="1">
      <c r="A271" s="17" t="s">
        <v>295</v>
      </c>
      <c r="B271" s="15">
        <v>0.28512367724867732</v>
      </c>
    </row>
    <row r="272" spans="1:2" ht="15.75" customHeight="1">
      <c r="A272" s="17" t="s">
        <v>296</v>
      </c>
      <c r="B272" s="15">
        <v>1.3448181999999997</v>
      </c>
    </row>
    <row r="273" spans="1:2" ht="15.75" customHeight="1">
      <c r="A273" s="17" t="s">
        <v>297</v>
      </c>
      <c r="B273" s="15">
        <v>28.51</v>
      </c>
    </row>
    <row r="274" spans="1:2" ht="15.75" customHeight="1">
      <c r="A274" s="17" t="s">
        <v>298</v>
      </c>
      <c r="B274" s="15">
        <v>0.72607260726072598</v>
      </c>
    </row>
    <row r="275" spans="1:2" ht="15.75" customHeight="1">
      <c r="A275" s="17" t="s">
        <v>299</v>
      </c>
      <c r="B275" s="15">
        <v>0.41207243385120401</v>
      </c>
    </row>
    <row r="276" spans="1:2" ht="15.75" customHeight="1">
      <c r="A276" s="17" t="s">
        <v>300</v>
      </c>
      <c r="B276" s="15">
        <v>1.3448181999999997</v>
      </c>
    </row>
    <row r="277" spans="1:2" ht="15.75" customHeight="1">
      <c r="A277" s="17" t="s">
        <v>301</v>
      </c>
      <c r="B277" s="15">
        <v>0.41248440199999997</v>
      </c>
    </row>
    <row r="278" spans="1:2" ht="15.75" customHeight="1">
      <c r="A278" s="17" t="s">
        <v>302</v>
      </c>
      <c r="B278" s="15">
        <v>1.7196035999999999</v>
      </c>
    </row>
    <row r="279" spans="1:2" ht="15.75" customHeight="1">
      <c r="A279" s="17" t="s">
        <v>303</v>
      </c>
      <c r="B279" s="15">
        <v>1.3421342134213421</v>
      </c>
    </row>
    <row r="280" spans="1:2" ht="15.75" customHeight="1">
      <c r="A280" s="17" t="s">
        <v>304</v>
      </c>
      <c r="B280" s="15">
        <v>1.6941694169416941</v>
      </c>
    </row>
    <row r="281" spans="1:2" ht="15.75" customHeight="1">
      <c r="A281" s="17" t="s">
        <v>305</v>
      </c>
      <c r="B281" s="15"/>
    </row>
    <row r="282" spans="1:2" ht="15.75" customHeight="1">
      <c r="A282" s="17" t="s">
        <v>307</v>
      </c>
      <c r="B282" s="15">
        <v>0.44297292453752796</v>
      </c>
    </row>
    <row r="283" spans="1:2" ht="15.75" customHeight="1">
      <c r="A283" s="17" t="s">
        <v>308</v>
      </c>
      <c r="B283" s="15">
        <v>1.3227719999999998</v>
      </c>
    </row>
    <row r="284" spans="1:2" ht="15.75" customHeight="1">
      <c r="A284" s="17" t="s">
        <v>309</v>
      </c>
      <c r="B284" s="15">
        <v>0.42689459999999996</v>
      </c>
    </row>
    <row r="285" spans="1:2" ht="15.75" customHeight="1">
      <c r="A285" s="17" t="s">
        <v>310</v>
      </c>
      <c r="B285" s="15">
        <v>1.3227746521102666</v>
      </c>
    </row>
    <row r="286" spans="1:2" ht="15.75" customHeight="1">
      <c r="A286" s="17" t="s">
        <v>311</v>
      </c>
      <c r="B286" s="15">
        <v>1.3907933562748016</v>
      </c>
    </row>
    <row r="287" spans="1:2" ht="15.75" customHeight="1">
      <c r="A287" s="17" t="s">
        <v>312</v>
      </c>
      <c r="B287" s="15">
        <v>5.72</v>
      </c>
    </row>
    <row r="288" spans="1:2" ht="15.75" customHeight="1">
      <c r="A288" s="17" t="s">
        <v>313</v>
      </c>
      <c r="B288" s="15">
        <v>3.3069299999999995</v>
      </c>
    </row>
    <row r="289" spans="1:2" ht="15.75" customHeight="1">
      <c r="A289" s="17" t="s">
        <v>314</v>
      </c>
      <c r="B289" s="15">
        <v>1.5055000000000001</v>
      </c>
    </row>
    <row r="290" spans="1:2" ht="15.75" customHeight="1">
      <c r="A290" s="17" t="s">
        <v>315</v>
      </c>
      <c r="B290" s="15">
        <v>1.1243562</v>
      </c>
    </row>
    <row r="291" spans="1:2" ht="15.75" customHeight="1">
      <c r="A291" s="17" t="s">
        <v>316</v>
      </c>
      <c r="B291" s="15">
        <v>1.6537876978486741</v>
      </c>
    </row>
    <row r="292" spans="1:2" ht="15.75" customHeight="1">
      <c r="A292" s="17" t="s">
        <v>317</v>
      </c>
      <c r="B292" s="15">
        <v>3.3069366302756662</v>
      </c>
    </row>
    <row r="293" spans="1:2" ht="15.75" customHeight="1">
      <c r="A293" s="17" t="s">
        <v>318</v>
      </c>
      <c r="B293" s="15">
        <v>1.377890262614861</v>
      </c>
    </row>
    <row r="294" spans="1:2" ht="15.75" customHeight="1">
      <c r="A294" s="17" t="s">
        <v>319</v>
      </c>
      <c r="B294" s="15">
        <v>1.0471944999999998</v>
      </c>
    </row>
    <row r="295" spans="1:2" ht="15.75" customHeight="1">
      <c r="A295" s="17" t="s">
        <v>320</v>
      </c>
      <c r="B295" s="15"/>
    </row>
    <row r="296" spans="1:2" ht="15.75" customHeight="1">
      <c r="A296" s="17" t="s">
        <v>323</v>
      </c>
      <c r="B296" s="15">
        <v>0.57205720572057206</v>
      </c>
    </row>
    <row r="297" spans="1:2" ht="15.75" customHeight="1">
      <c r="A297" s="17" t="s">
        <v>324</v>
      </c>
      <c r="B297" s="15">
        <v>0.53790000000000004</v>
      </c>
    </row>
    <row r="298" spans="1:2" ht="15.75" customHeight="1">
      <c r="A298" s="17" t="s">
        <v>325</v>
      </c>
      <c r="B298" s="15">
        <v>0.73870000000000002</v>
      </c>
    </row>
    <row r="299" spans="1:2" ht="15.75" customHeight="1">
      <c r="A299" s="17" t="s">
        <v>326</v>
      </c>
      <c r="B299" s="15">
        <v>0.53847964033602325</v>
      </c>
    </row>
    <row r="300" spans="1:2" ht="15.75" customHeight="1">
      <c r="A300" s="17" t="s">
        <v>327</v>
      </c>
      <c r="B300" s="15">
        <v>0.74332827749173913</v>
      </c>
    </row>
    <row r="301" spans="1:2" ht="15.75" customHeight="1">
      <c r="A301" s="17" t="s">
        <v>328</v>
      </c>
      <c r="B301" s="15">
        <v>3</v>
      </c>
    </row>
    <row r="302" spans="1:2" ht="15.75" customHeight="1">
      <c r="A302" s="17" t="s">
        <v>329</v>
      </c>
      <c r="B302" s="15">
        <v>0.64534848484848484</v>
      </c>
    </row>
    <row r="303" spans="1:2" ht="15.75" customHeight="1">
      <c r="A303" s="17" t="s">
        <v>330</v>
      </c>
      <c r="B303" s="15">
        <v>1.1221122112211221</v>
      </c>
    </row>
    <row r="304" spans="1:2" ht="15.75" customHeight="1">
      <c r="A304" s="17" t="s">
        <v>331</v>
      </c>
      <c r="B304" s="15">
        <v>1.925</v>
      </c>
    </row>
    <row r="305" spans="1:2" ht="15.75" customHeight="1">
      <c r="A305" s="17" t="s">
        <v>332</v>
      </c>
      <c r="B305" s="15">
        <v>1.9054127297822949</v>
      </c>
    </row>
    <row r="306" spans="1:2" ht="15.75" customHeight="1">
      <c r="A306" s="17" t="s">
        <v>333</v>
      </c>
      <c r="B306" s="15">
        <v>1.4464999999999999</v>
      </c>
    </row>
    <row r="307" spans="1:2" ht="15.75" customHeight="1">
      <c r="A307" s="17" t="s">
        <v>334</v>
      </c>
      <c r="B307" s="15">
        <v>1.6</v>
      </c>
    </row>
    <row r="308" spans="1:2" ht="15.75" customHeight="1">
      <c r="A308" s="17" t="s">
        <v>335</v>
      </c>
      <c r="B308" s="15">
        <v>1.1221122112211221</v>
      </c>
    </row>
    <row r="309" spans="1:2" ht="15.75" customHeight="1">
      <c r="A309" s="17" t="s">
        <v>336</v>
      </c>
      <c r="B309" s="15">
        <v>1.36333056989307</v>
      </c>
    </row>
    <row r="310" spans="1:2" ht="15.75" customHeight="1">
      <c r="A310" s="17" t="s">
        <v>337</v>
      </c>
      <c r="B310" s="15">
        <v>2.6150000000000002</v>
      </c>
    </row>
    <row r="311" spans="1:2" ht="15.75" customHeight="1">
      <c r="A311" s="17" t="s">
        <v>338</v>
      </c>
      <c r="B311" s="15">
        <v>19.866496059389544</v>
      </c>
    </row>
    <row r="312" spans="1:2" ht="15.75" customHeight="1">
      <c r="A312" s="17" t="s">
        <v>339</v>
      </c>
      <c r="B312" s="15"/>
    </row>
    <row r="313" spans="1:2" ht="15.75" customHeight="1">
      <c r="A313" s="17" t="s">
        <v>341</v>
      </c>
      <c r="B313" s="15">
        <v>6.7240909999999987</v>
      </c>
    </row>
    <row r="314" spans="1:2" ht="15.75" customHeight="1">
      <c r="A314" s="17" t="s">
        <v>342</v>
      </c>
      <c r="B314" s="15"/>
    </row>
    <row r="315" spans="1:2" ht="15.75" customHeight="1">
      <c r="A315" s="17" t="s">
        <v>344</v>
      </c>
      <c r="B315" s="15">
        <v>0.73487333333333327</v>
      </c>
    </row>
    <row r="316" spans="1:2" ht="15.75" customHeight="1">
      <c r="A316" s="17" t="s">
        <v>345</v>
      </c>
      <c r="B316" s="15">
        <v>0.35</v>
      </c>
    </row>
    <row r="317" spans="1:2" ht="15.75" customHeight="1">
      <c r="A317" s="17" t="s">
        <v>346</v>
      </c>
      <c r="B317" s="15">
        <v>0.27502750275027499</v>
      </c>
    </row>
    <row r="318" spans="1:2" ht="15.75" customHeight="1">
      <c r="A318" s="17" t="s">
        <v>347</v>
      </c>
      <c r="B318" s="15">
        <v>0.85060851648351654</v>
      </c>
    </row>
    <row r="319" spans="1:2" ht="15.75" customHeight="1">
      <c r="A319" s="17" t="s">
        <v>348</v>
      </c>
      <c r="B319" s="15">
        <v>0.53022229454047631</v>
      </c>
    </row>
    <row r="320" spans="1:2" ht="15.75" customHeight="1">
      <c r="A320" s="17" t="s">
        <v>349</v>
      </c>
      <c r="B320" s="15">
        <v>0.27314494596312783</v>
      </c>
    </row>
    <row r="321" spans="1:2" ht="15.75" customHeight="1">
      <c r="A321" s="17" t="s">
        <v>350</v>
      </c>
      <c r="B321" s="15">
        <v>0.43824605487105478</v>
      </c>
    </row>
    <row r="322" spans="1:2" ht="15.75" customHeight="1">
      <c r="A322" s="17" t="s">
        <v>351</v>
      </c>
      <c r="B322" s="15">
        <v>1.135</v>
      </c>
    </row>
    <row r="323" spans="1:2" ht="15.75" customHeight="1">
      <c r="A323" s="17" t="s">
        <v>352</v>
      </c>
      <c r="B323" s="15">
        <v>0.67211264050414998</v>
      </c>
    </row>
    <row r="324" spans="1:2" ht="15.75" customHeight="1">
      <c r="A324" s="17" t="s">
        <v>353</v>
      </c>
      <c r="B324" s="15"/>
    </row>
    <row r="325" spans="1:2" ht="15.75" customHeight="1">
      <c r="A325" s="17" t="s">
        <v>355</v>
      </c>
      <c r="B325" s="15">
        <v>30.76</v>
      </c>
    </row>
    <row r="326" spans="1:2" ht="15.75" customHeight="1">
      <c r="A326" s="17" t="s">
        <v>356</v>
      </c>
      <c r="B326" s="15"/>
    </row>
    <row r="327" spans="1:2" ht="15.75" customHeight="1">
      <c r="A327" s="17" t="s">
        <v>357</v>
      </c>
      <c r="B327" s="15"/>
    </row>
    <row r="328" spans="1:2" ht="15.75" customHeight="1">
      <c r="A328" s="17" t="s">
        <v>359</v>
      </c>
      <c r="B328" s="15">
        <v>1.2231453026452519</v>
      </c>
    </row>
    <row r="329" spans="1:2" ht="15.75" customHeight="1">
      <c r="A329" s="17" t="s">
        <v>360</v>
      </c>
      <c r="B329" s="15">
        <v>1.697032082996369</v>
      </c>
    </row>
    <row r="330" spans="1:2" ht="15.75" customHeight="1">
      <c r="A330" s="17" t="s">
        <v>361</v>
      </c>
      <c r="B330" s="15"/>
    </row>
    <row r="331" spans="1:2" ht="15.75" customHeight="1">
      <c r="A331" s="17" t="s">
        <v>363</v>
      </c>
      <c r="B331" s="15">
        <v>0.16958615384615383</v>
      </c>
    </row>
    <row r="332" spans="1:2" ht="15.75" customHeight="1">
      <c r="A332" s="17" t="s">
        <v>364</v>
      </c>
      <c r="B332" s="15">
        <v>0.33330738650533864</v>
      </c>
    </row>
    <row r="333" spans="1:2" ht="15.75" customHeight="1">
      <c r="A333" s="17" t="s">
        <v>365</v>
      </c>
      <c r="B333" s="15">
        <v>0.71507150715071499</v>
      </c>
    </row>
    <row r="334" spans="1:2" ht="15.75" customHeight="1">
      <c r="A334" s="17" t="s">
        <v>366</v>
      </c>
      <c r="B334" s="15">
        <v>1.301016932141932</v>
      </c>
    </row>
    <row r="335" spans="1:2" ht="15.75" customHeight="1">
      <c r="A335" s="17" t="s">
        <v>367</v>
      </c>
      <c r="B335" s="15">
        <v>0.96540000000000004</v>
      </c>
    </row>
    <row r="336" spans="1:2" ht="15.75" customHeight="1">
      <c r="A336" s="17" t="s">
        <v>368</v>
      </c>
      <c r="B336" s="15">
        <v>0.84738191006900609</v>
      </c>
    </row>
    <row r="337" spans="1:2" ht="15.75" customHeight="1">
      <c r="A337" s="17" t="s">
        <v>369</v>
      </c>
      <c r="B337" s="15">
        <v>0.86402688052688092</v>
      </c>
    </row>
    <row r="338" spans="1:2" ht="15.75" customHeight="1">
      <c r="A338" s="17" t="s">
        <v>370</v>
      </c>
      <c r="B338" s="15">
        <v>3.3069299999999995</v>
      </c>
    </row>
    <row r="339" spans="1:2" ht="15.75" customHeight="1">
      <c r="A339" s="17" t="s">
        <v>371</v>
      </c>
      <c r="B339" s="15">
        <v>0.23756547619047619</v>
      </c>
    </row>
    <row r="340" spans="1:2" ht="15.75" customHeight="1">
      <c r="A340" s="17" t="s">
        <v>372</v>
      </c>
      <c r="B340" s="15">
        <v>0.60506050605060502</v>
      </c>
    </row>
    <row r="341" spans="1:2" ht="15.75" customHeight="1">
      <c r="A341" s="17" t="s">
        <v>373</v>
      </c>
      <c r="B341" s="15">
        <v>0.22552255225522549</v>
      </c>
    </row>
    <row r="342" spans="1:2" ht="15.75" customHeight="1">
      <c r="A342" s="17" t="s">
        <v>374</v>
      </c>
      <c r="B342" s="15">
        <v>18.12</v>
      </c>
    </row>
    <row r="343" spans="1:2" ht="15.75" customHeight="1">
      <c r="A343" s="17" t="s">
        <v>375</v>
      </c>
      <c r="B343" s="15">
        <v>7.2110000000000012</v>
      </c>
    </row>
    <row r="344" spans="1:2" ht="15.75" customHeight="1">
      <c r="A344" s="17" t="s">
        <v>376</v>
      </c>
      <c r="B344" s="15">
        <v>6.013764837944664</v>
      </c>
    </row>
    <row r="345" spans="1:2" ht="15.75" customHeight="1">
      <c r="A345" s="17" t="s">
        <v>377</v>
      </c>
      <c r="B345" s="15">
        <v>8.8008800880088001E-2</v>
      </c>
    </row>
    <row r="346" spans="1:2" ht="15.75" customHeight="1">
      <c r="A346" s="17" t="s">
        <v>378</v>
      </c>
      <c r="B346" s="15"/>
    </row>
    <row r="347" spans="1:2" ht="15.75" customHeight="1">
      <c r="A347" s="17" t="s">
        <v>379</v>
      </c>
      <c r="B347" s="15"/>
    </row>
    <row r="348" spans="1:2" ht="15.75" customHeight="1">
      <c r="A348" s="17" t="s">
        <v>380</v>
      </c>
      <c r="B348" s="15"/>
    </row>
    <row r="349" spans="1:2" ht="15.75" customHeight="1">
      <c r="A349" s="17" t="s">
        <v>381</v>
      </c>
      <c r="B349" s="15"/>
    </row>
    <row r="350" spans="1:2" ht="15.75" customHeight="1">
      <c r="A350" s="17" t="s">
        <v>382</v>
      </c>
      <c r="B350" s="15"/>
    </row>
    <row r="351" spans="1:2" ht="15.75" customHeight="1">
      <c r="A351" s="17" t="s">
        <v>383</v>
      </c>
      <c r="B351" s="15">
        <v>6.7796666666666674</v>
      </c>
    </row>
    <row r="352" spans="1:2" ht="15.75" customHeight="1">
      <c r="A352" s="17" t="s">
        <v>384</v>
      </c>
      <c r="B352" s="15">
        <v>1.5181518151815181</v>
      </c>
    </row>
    <row r="353" spans="1:2" ht="15.75" customHeight="1">
      <c r="A353" s="17" t="s">
        <v>385</v>
      </c>
      <c r="B353" s="15">
        <v>0.24372760800521751</v>
      </c>
    </row>
    <row r="354" spans="1:2" ht="15.75" customHeight="1">
      <c r="A354" s="17" t="s">
        <v>386</v>
      </c>
      <c r="B354" s="15">
        <v>0.24495756071713659</v>
      </c>
    </row>
    <row r="355" spans="1:2" ht="15.75" customHeight="1">
      <c r="A355" s="17" t="s">
        <v>387</v>
      </c>
      <c r="B355" s="15">
        <v>0.22361149846757919</v>
      </c>
    </row>
    <row r="356" spans="1:2" ht="15.75" customHeight="1">
      <c r="A356" s="17" t="s">
        <v>388</v>
      </c>
      <c r="B356" s="15">
        <v>0.49346315899452264</v>
      </c>
    </row>
    <row r="357" spans="1:2" ht="15.75" customHeight="1">
      <c r="A357" s="17" t="s">
        <v>389</v>
      </c>
      <c r="B357" s="15">
        <v>0.61887640476321071</v>
      </c>
    </row>
    <row r="358" spans="1:2" ht="15.75" customHeight="1">
      <c r="A358" s="17" t="s">
        <v>390</v>
      </c>
      <c r="B358" s="15">
        <v>0.80750435501369566</v>
      </c>
    </row>
    <row r="359" spans="1:2" ht="15.75" customHeight="1">
      <c r="A359" s="17" t="s">
        <v>391</v>
      </c>
      <c r="B359" s="15">
        <v>0.57205720572057206</v>
      </c>
    </row>
    <row r="360" spans="1:2" ht="15.75" customHeight="1">
      <c r="A360" s="17" t="s">
        <v>392</v>
      </c>
      <c r="B360" s="15">
        <v>0.60709090909090913</v>
      </c>
    </row>
    <row r="361" spans="1:2" ht="15.75" customHeight="1">
      <c r="A361" s="17" t="s">
        <v>393</v>
      </c>
      <c r="B361" s="15">
        <v>0.38100827664399101</v>
      </c>
    </row>
    <row r="362" spans="1:2" ht="15.75" customHeight="1">
      <c r="A362" s="17" t="s">
        <v>394</v>
      </c>
      <c r="B362" s="15">
        <v>0.53934476981351986</v>
      </c>
    </row>
    <row r="363" spans="1:2" ht="15.75" customHeight="1">
      <c r="A363" s="17" t="s">
        <v>395</v>
      </c>
      <c r="B363" s="15">
        <v>0.63806380638063798</v>
      </c>
    </row>
    <row r="364" spans="1:2" ht="15.75" customHeight="1">
      <c r="A364" s="17" t="s">
        <v>396</v>
      </c>
      <c r="B364" s="15">
        <v>0.39253692818809099</v>
      </c>
    </row>
    <row r="365" spans="1:2" ht="15.75" customHeight="1">
      <c r="A365" s="17" t="s">
        <v>397</v>
      </c>
      <c r="B365" s="15">
        <v>0.39769638139638142</v>
      </c>
    </row>
    <row r="366" spans="1:2" ht="15.75" customHeight="1">
      <c r="A366" s="17" t="s">
        <v>398</v>
      </c>
      <c r="B366" s="15">
        <v>0.46911883641050311</v>
      </c>
    </row>
    <row r="367" spans="1:2" ht="15.75" customHeight="1">
      <c r="A367" s="17" t="s">
        <v>399</v>
      </c>
      <c r="B367" s="15">
        <v>0.37500586200000002</v>
      </c>
    </row>
    <row r="368" spans="1:2" ht="15.75" customHeight="1">
      <c r="A368" s="17" t="s">
        <v>400</v>
      </c>
      <c r="B368" s="15">
        <v>0.30584209309209331</v>
      </c>
    </row>
    <row r="369" spans="1:2" ht="15.75" customHeight="1">
      <c r="A369" s="17" t="s">
        <v>401</v>
      </c>
      <c r="B369" s="15">
        <v>0.27591680079180092</v>
      </c>
    </row>
    <row r="370" spans="1:2" ht="15.75" customHeight="1">
      <c r="A370" s="17" t="s">
        <v>402</v>
      </c>
      <c r="B370" s="15">
        <v>0.27127927627927628</v>
      </c>
    </row>
    <row r="371" spans="1:2" ht="15.75" customHeight="1">
      <c r="A371" s="17" t="s">
        <v>403</v>
      </c>
      <c r="B371" s="15">
        <v>0.44271985479797982</v>
      </c>
    </row>
    <row r="372" spans="1:2" ht="15.75" customHeight="1">
      <c r="A372" s="17" t="s">
        <v>404</v>
      </c>
      <c r="B372" s="15">
        <v>0.4588503566120124</v>
      </c>
    </row>
    <row r="373" spans="1:2" ht="15.75" customHeight="1">
      <c r="A373" s="17" t="s">
        <v>405</v>
      </c>
      <c r="B373" s="15">
        <v>0.35520833333333329</v>
      </c>
    </row>
    <row r="374" spans="1:2" ht="15.75" customHeight="1">
      <c r="A374" s="17" t="s">
        <v>406</v>
      </c>
      <c r="B374" s="15">
        <v>0.39221559288664548</v>
      </c>
    </row>
    <row r="375" spans="1:2" ht="15.75" customHeight="1">
      <c r="A375" s="17" t="s">
        <v>407</v>
      </c>
      <c r="B375" s="15">
        <v>0.40336531986531982</v>
      </c>
    </row>
    <row r="376" spans="1:2" ht="15.75" customHeight="1">
      <c r="A376" s="17" t="s">
        <v>408</v>
      </c>
      <c r="B376" s="15">
        <v>0.60506050605060502</v>
      </c>
    </row>
    <row r="377" spans="1:2" ht="15.75" customHeight="1">
      <c r="A377" s="17" t="s">
        <v>409</v>
      </c>
      <c r="B377" s="15">
        <v>0.57168902814357359</v>
      </c>
    </row>
    <row r="378" spans="1:2" ht="15.75" customHeight="1">
      <c r="A378" s="17" t="s">
        <v>410</v>
      </c>
      <c r="B378" s="15">
        <v>0.44393668200486391</v>
      </c>
    </row>
    <row r="379" spans="1:2" ht="15.75" customHeight="1">
      <c r="A379" s="17" t="s">
        <v>411</v>
      </c>
      <c r="B379" s="15">
        <v>0.46681545561717969</v>
      </c>
    </row>
    <row r="380" spans="1:2" ht="15.75" customHeight="1">
      <c r="A380" s="17" t="s">
        <v>412</v>
      </c>
      <c r="B380" s="15"/>
    </row>
    <row r="381" spans="1:2" ht="15.75" customHeight="1">
      <c r="A381" s="17" t="s">
        <v>413</v>
      </c>
      <c r="B381" s="15"/>
    </row>
    <row r="382" spans="1:2" ht="15.75" customHeight="1">
      <c r="A382" s="17" t="s">
        <v>415</v>
      </c>
      <c r="B382" s="15"/>
    </row>
    <row r="383" spans="1:2" ht="15.75" customHeight="1">
      <c r="A383" s="17" t="s">
        <v>416</v>
      </c>
      <c r="B383" s="15"/>
    </row>
    <row r="384" spans="1:2" ht="15.75" customHeight="1">
      <c r="A384" s="17" t="s">
        <v>418</v>
      </c>
      <c r="B384" s="15"/>
    </row>
    <row r="385" spans="1:2" ht="15.75" customHeight="1">
      <c r="A385" s="17" t="s">
        <v>419</v>
      </c>
      <c r="B385" s="15"/>
    </row>
    <row r="386" spans="1:2" ht="15.75" customHeight="1">
      <c r="A386" s="17" t="s">
        <v>421</v>
      </c>
      <c r="B386" s="15"/>
    </row>
    <row r="387" spans="1:2" ht="15.75" customHeight="1">
      <c r="A387" s="17" t="s">
        <v>422</v>
      </c>
      <c r="B387" s="15"/>
    </row>
    <row r="388" spans="1:2" ht="15.75" customHeight="1">
      <c r="A388" s="17" t="s">
        <v>424</v>
      </c>
      <c r="B388" s="15"/>
    </row>
    <row r="389" spans="1:2" ht="15.75" customHeight="1">
      <c r="A389" s="17" t="s">
        <v>426</v>
      </c>
      <c r="B389" s="15">
        <v>0.57205720572057206</v>
      </c>
    </row>
    <row r="390" spans="1:2" ht="15.75" customHeight="1">
      <c r="A390" s="17" t="s">
        <v>427</v>
      </c>
      <c r="B390" s="15">
        <v>0.41999656179018602</v>
      </c>
    </row>
    <row r="391" spans="1:2" ht="15.75" customHeight="1">
      <c r="A391" s="17" t="s">
        <v>428</v>
      </c>
      <c r="B391" s="15">
        <v>0.17142857142857143</v>
      </c>
    </row>
    <row r="392" spans="1:2" ht="15.75" customHeight="1">
      <c r="A392" s="17" t="s">
        <v>429</v>
      </c>
      <c r="B392" s="15"/>
    </row>
    <row r="393" spans="1:2" ht="15.75" customHeight="1">
      <c r="A393" s="17" t="s">
        <v>431</v>
      </c>
      <c r="B393" s="15">
        <v>10.5</v>
      </c>
    </row>
    <row r="394" spans="1:2" ht="15.75" customHeight="1">
      <c r="A394" s="17" t="s">
        <v>432</v>
      </c>
      <c r="B394" s="15">
        <v>10</v>
      </c>
    </row>
    <row r="395" spans="1:2" ht="15.75" customHeight="1">
      <c r="A395" s="17" t="s">
        <v>433</v>
      </c>
      <c r="B395" s="15">
        <v>10</v>
      </c>
    </row>
    <row r="396" spans="1:2" ht="15.75" customHeight="1">
      <c r="A396" s="17" t="s">
        <v>434</v>
      </c>
      <c r="B396" s="15">
        <v>0.59950370714217704</v>
      </c>
    </row>
    <row r="397" spans="1:2" ht="15.75" customHeight="1">
      <c r="A397" s="17" t="s">
        <v>435</v>
      </c>
      <c r="B397" s="15">
        <v>7.0879990903786378</v>
      </c>
    </row>
    <row r="398" spans="1:2" ht="15.75" customHeight="1">
      <c r="A398" s="17" t="s">
        <v>436</v>
      </c>
      <c r="B398" s="15">
        <v>0.2830125</v>
      </c>
    </row>
    <row r="399" spans="1:2" ht="15.75" customHeight="1">
      <c r="A399" s="17" t="s">
        <v>437</v>
      </c>
      <c r="B399" s="15">
        <v>0.46377289377289382</v>
      </c>
    </row>
    <row r="400" spans="1:2" ht="15.75" customHeight="1">
      <c r="A400" s="17" t="s">
        <v>438</v>
      </c>
      <c r="B400" s="15">
        <v>3.3128471666574679</v>
      </c>
    </row>
    <row r="401" spans="1:2" ht="15.75" customHeight="1">
      <c r="A401" s="17" t="s">
        <v>439</v>
      </c>
      <c r="B401" s="15"/>
    </row>
    <row r="402" spans="1:2" ht="15.75" customHeight="1">
      <c r="A402" s="17" t="s">
        <v>440</v>
      </c>
      <c r="B402" s="15"/>
    </row>
    <row r="403" spans="1:2" ht="15.75" customHeight="1">
      <c r="A403" s="17" t="s">
        <v>441</v>
      </c>
      <c r="B403" s="15">
        <v>0.79207920792079201</v>
      </c>
    </row>
    <row r="404" spans="1:2" ht="15.75" customHeight="1">
      <c r="A404" s="17" t="s">
        <v>442</v>
      </c>
      <c r="B404" s="15">
        <v>8.6900000000000005E-2</v>
      </c>
    </row>
    <row r="405" spans="1:2" ht="15.75" customHeight="1">
      <c r="A405" s="17" t="s">
        <v>443</v>
      </c>
      <c r="B405" s="15">
        <v>0.28999999999999998</v>
      </c>
    </row>
    <row r="406" spans="1:2" ht="15.75" customHeight="1">
      <c r="A406" s="17" t="s">
        <v>444</v>
      </c>
      <c r="B406" s="15">
        <v>3.7846590176060348</v>
      </c>
    </row>
    <row r="407" spans="1:2" ht="15.75" customHeight="1">
      <c r="A407" s="17" t="s">
        <v>445</v>
      </c>
      <c r="B407" s="15">
        <v>0.29752437260933412</v>
      </c>
    </row>
    <row r="408" spans="1:2" ht="15.75" customHeight="1">
      <c r="A408" s="17" t="s">
        <v>446</v>
      </c>
      <c r="B408" s="15">
        <v>0.38631781169768181</v>
      </c>
    </row>
    <row r="409" spans="1:2" ht="15.75" customHeight="1">
      <c r="A409" s="17" t="s">
        <v>447</v>
      </c>
      <c r="B409" s="15">
        <v>0.35776809426528527</v>
      </c>
    </row>
    <row r="410" spans="1:2" ht="15.75" customHeight="1">
      <c r="A410" s="17" t="s">
        <v>448</v>
      </c>
      <c r="B410" s="15">
        <v>2.6609320542402042</v>
      </c>
    </row>
    <row r="411" spans="1:2" ht="15.75" customHeight="1">
      <c r="A411" s="17" t="s">
        <v>449</v>
      </c>
      <c r="B411" s="15">
        <v>0.30689395957577781</v>
      </c>
    </row>
    <row r="412" spans="1:2" ht="15.75" customHeight="1">
      <c r="A412" s="17" t="s">
        <v>450</v>
      </c>
      <c r="B412" s="15">
        <v>0.29641537268287271</v>
      </c>
    </row>
    <row r="413" spans="1:2" ht="15.75" customHeight="1">
      <c r="A413" s="17" t="s">
        <v>451</v>
      </c>
      <c r="B413" s="15">
        <v>1.209204634901683</v>
      </c>
    </row>
    <row r="414" spans="1:2" ht="15.75" customHeight="1">
      <c r="A414" s="17" t="s">
        <v>452</v>
      </c>
      <c r="B414" s="15">
        <v>1.8595999999999999</v>
      </c>
    </row>
    <row r="415" spans="1:2" ht="15.75" customHeight="1">
      <c r="A415" s="17" t="s">
        <v>453</v>
      </c>
      <c r="B415" s="15">
        <v>1.8372622455687388</v>
      </c>
    </row>
    <row r="416" spans="1:2" ht="15.75" customHeight="1">
      <c r="A416" s="17" t="s">
        <v>454</v>
      </c>
      <c r="B416" s="15">
        <v>2.4277879952245121</v>
      </c>
    </row>
    <row r="417" spans="1:2" ht="15.75" customHeight="1">
      <c r="A417" s="17" t="s">
        <v>455</v>
      </c>
      <c r="B417" s="15">
        <v>2.4955893514433658</v>
      </c>
    </row>
    <row r="418" spans="1:2" ht="15.75" customHeight="1">
      <c r="A418" s="17" t="s">
        <v>456</v>
      </c>
      <c r="B418" s="15">
        <v>1.8595999999999999</v>
      </c>
    </row>
    <row r="419" spans="1:2" ht="15.75" customHeight="1">
      <c r="A419" s="17" t="s">
        <v>457</v>
      </c>
      <c r="B419" s="15">
        <v>3.974601851851852</v>
      </c>
    </row>
    <row r="420" spans="1:2" ht="15.75" customHeight="1">
      <c r="A420" s="17" t="s">
        <v>458</v>
      </c>
      <c r="B420" s="15">
        <v>0.68833333333333335</v>
      </c>
    </row>
    <row r="421" spans="1:2" ht="15.75" customHeight="1">
      <c r="A421" s="17" t="s">
        <v>459</v>
      </c>
      <c r="B421" s="15"/>
    </row>
    <row r="422" spans="1:2" ht="15.75" customHeight="1">
      <c r="A422" s="17" t="s">
        <v>460</v>
      </c>
      <c r="B422" s="15">
        <v>4.5974275365068857</v>
      </c>
    </row>
    <row r="423" spans="1:2" ht="15.75" customHeight="1">
      <c r="A423" s="17" t="s">
        <v>461</v>
      </c>
      <c r="B423" s="15">
        <v>7.0356454496208807</v>
      </c>
    </row>
    <row r="424" spans="1:2" ht="15.75" customHeight="1">
      <c r="A424" s="17" t="s">
        <v>462</v>
      </c>
      <c r="B424" s="15">
        <v>1.4866302572746481</v>
      </c>
    </row>
    <row r="425" spans="1:2" ht="15.75" customHeight="1">
      <c r="A425" s="17" t="s">
        <v>463</v>
      </c>
      <c r="B425" s="15">
        <v>2.5</v>
      </c>
    </row>
    <row r="426" spans="1:2" ht="15.75" customHeight="1">
      <c r="A426" s="17" t="s">
        <v>464</v>
      </c>
      <c r="B426" s="15">
        <v>0.1296835294117647</v>
      </c>
    </row>
    <row r="427" spans="1:2" ht="15.75" customHeight="1">
      <c r="A427" s="17" t="s">
        <v>465</v>
      </c>
      <c r="B427" s="15">
        <v>3.3069299999999995</v>
      </c>
    </row>
    <row r="428" spans="1:2" ht="15.75" customHeight="1">
      <c r="A428" s="17" t="s">
        <v>466</v>
      </c>
      <c r="B428" s="15">
        <v>0.88184799999999997</v>
      </c>
    </row>
    <row r="429" spans="1:2" ht="15.75" customHeight="1">
      <c r="A429" s="17" t="s">
        <v>467</v>
      </c>
      <c r="B429" s="15">
        <v>0.88184799999999997</v>
      </c>
    </row>
    <row r="430" spans="1:2" ht="15.75" customHeight="1">
      <c r="A430" s="17" t="s">
        <v>468</v>
      </c>
      <c r="B430" s="15">
        <v>0.29036100507679458</v>
      </c>
    </row>
    <row r="431" spans="1:2" ht="15.75" customHeight="1">
      <c r="A431" s="17" t="s">
        <v>469</v>
      </c>
      <c r="B431" s="15"/>
    </row>
    <row r="432" spans="1:2" ht="15.75" customHeight="1">
      <c r="A432" s="17" t="s">
        <v>471</v>
      </c>
      <c r="B432" s="15">
        <v>5.92</v>
      </c>
    </row>
    <row r="433" spans="1:2" ht="15.75" customHeight="1">
      <c r="A433" s="17" t="s">
        <v>472</v>
      </c>
      <c r="B433" s="15"/>
    </row>
    <row r="434" spans="1:2" ht="15.75" customHeight="1">
      <c r="A434" s="17" t="s">
        <v>474</v>
      </c>
      <c r="B434" s="15"/>
    </row>
    <row r="435" spans="1:2" ht="15.75" customHeight="1">
      <c r="A435" s="17" t="s">
        <v>476</v>
      </c>
      <c r="B435" s="15">
        <v>0.2</v>
      </c>
    </row>
    <row r="436" spans="1:2" ht="15.75" customHeight="1">
      <c r="A436" s="17" t="s">
        <v>477</v>
      </c>
      <c r="B436" s="15">
        <v>1.5</v>
      </c>
    </row>
    <row r="437" spans="1:2" ht="15.75" customHeight="1">
      <c r="A437" s="17" t="s">
        <v>478</v>
      </c>
      <c r="B437" s="15">
        <v>0.38609181109895402</v>
      </c>
    </row>
    <row r="438" spans="1:2" ht="15.75" customHeight="1">
      <c r="A438" s="17" t="s">
        <v>479</v>
      </c>
      <c r="B438" s="15">
        <v>0.36664490231990238</v>
      </c>
    </row>
    <row r="439" spans="1:2" ht="15.75" customHeight="1">
      <c r="A439" s="17" t="s">
        <v>480</v>
      </c>
      <c r="B439" s="15">
        <v>6.24</v>
      </c>
    </row>
    <row r="440" spans="1:2" ht="15.75" customHeight="1">
      <c r="A440" s="17" t="s">
        <v>481</v>
      </c>
      <c r="B440" s="15"/>
    </row>
    <row r="441" spans="1:2" ht="15.75" customHeight="1">
      <c r="A441" s="17" t="s">
        <v>483</v>
      </c>
      <c r="B441" s="15">
        <v>6.24</v>
      </c>
    </row>
    <row r="442" spans="1:2" ht="15.75" customHeight="1">
      <c r="A442" s="17" t="s">
        <v>484</v>
      </c>
      <c r="B442" s="15">
        <v>6.24</v>
      </c>
    </row>
    <row r="443" spans="1:2" ht="15.75" customHeight="1">
      <c r="A443" s="17" t="s">
        <v>485</v>
      </c>
      <c r="B443" s="15"/>
    </row>
    <row r="444" spans="1:2" ht="15.75" customHeight="1">
      <c r="A444" s="17" t="s">
        <v>486</v>
      </c>
      <c r="B444" s="15">
        <v>0.55139182750000004</v>
      </c>
    </row>
    <row r="445" spans="1:2" ht="15.75" customHeight="1">
      <c r="A445" s="17" t="s">
        <v>487</v>
      </c>
      <c r="B445" s="15">
        <v>0.60566550302530253</v>
      </c>
    </row>
    <row r="446" spans="1:2" ht="15.75" customHeight="1">
      <c r="A446" s="17" t="s">
        <v>488</v>
      </c>
      <c r="B446" s="15">
        <v>15.35</v>
      </c>
    </row>
    <row r="447" spans="1:2" ht="15.75" customHeight="1">
      <c r="A447" s="17" t="s">
        <v>489</v>
      </c>
      <c r="B447" s="15"/>
    </row>
    <row r="448" spans="1:2" ht="15.75" customHeight="1">
      <c r="A448" s="17" t="s">
        <v>491</v>
      </c>
      <c r="B448" s="15">
        <v>5</v>
      </c>
    </row>
    <row r="449" spans="1:2" ht="15.75" customHeight="1">
      <c r="A449" s="17" t="s">
        <v>492</v>
      </c>
      <c r="B449" s="15">
        <v>15.432339999999998</v>
      </c>
    </row>
    <row r="450" spans="1:2" ht="15.75" customHeight="1">
      <c r="A450" s="17" t="s">
        <v>493</v>
      </c>
      <c r="B450" s="15">
        <v>0.71507150715071499</v>
      </c>
    </row>
    <row r="451" spans="1:2" ht="15.75" customHeight="1">
      <c r="A451" s="17" t="s">
        <v>494</v>
      </c>
      <c r="B451" s="15">
        <v>0.99789267214966504</v>
      </c>
    </row>
    <row r="452" spans="1:2" ht="15.75" customHeight="1">
      <c r="A452" s="17" t="s">
        <v>495</v>
      </c>
      <c r="B452" s="15">
        <v>0.60506050605060502</v>
      </c>
    </row>
    <row r="453" spans="1:2" ht="15.75" customHeight="1">
      <c r="A453" s="17" t="s">
        <v>496</v>
      </c>
      <c r="B453" s="15">
        <v>0.44407345714285712</v>
      </c>
    </row>
    <row r="454" spans="1:2" ht="15.75" customHeight="1">
      <c r="A454" s="17" t="s">
        <v>497</v>
      </c>
      <c r="B454" s="15">
        <v>0.38667958401751512</v>
      </c>
    </row>
    <row r="455" spans="1:2" ht="15.75" customHeight="1">
      <c r="A455" s="17" t="s">
        <v>498</v>
      </c>
      <c r="B455" s="15">
        <v>0.54343314490877781</v>
      </c>
    </row>
    <row r="456" spans="1:2" ht="15.75" customHeight="1">
      <c r="A456" s="17" t="s">
        <v>499</v>
      </c>
      <c r="B456" s="15"/>
    </row>
    <row r="457" spans="1:2" ht="15.75" customHeight="1">
      <c r="A457" s="17" t="s">
        <v>501</v>
      </c>
      <c r="B457" s="15">
        <v>1.677083333333333</v>
      </c>
    </row>
    <row r="458" spans="1:2" ht="15.75" customHeight="1">
      <c r="A458" s="17" t="s">
        <v>502</v>
      </c>
      <c r="B458" s="15">
        <v>2.9100983999999999</v>
      </c>
    </row>
    <row r="459" spans="1:2" ht="15.75" customHeight="1">
      <c r="A459" s="17" t="s">
        <v>503</v>
      </c>
      <c r="B459" s="15">
        <v>0.5642004438181617</v>
      </c>
    </row>
    <row r="460" spans="1:2" ht="15.75" customHeight="1">
      <c r="A460" s="17" t="s">
        <v>504</v>
      </c>
      <c r="B460" s="15">
        <v>0.28536309523809528</v>
      </c>
    </row>
    <row r="461" spans="1:2" ht="15.75" customHeight="1">
      <c r="A461" s="17" t="s">
        <v>505</v>
      </c>
      <c r="B461" s="15">
        <v>6.24</v>
      </c>
    </row>
    <row r="462" spans="1:2" ht="15.75" customHeight="1">
      <c r="A462" s="17" t="s">
        <v>506</v>
      </c>
      <c r="B462" s="15">
        <v>26.455439999999996</v>
      </c>
    </row>
    <row r="463" spans="1:2" ht="15.75" customHeight="1">
      <c r="A463" s="17" t="s">
        <v>507</v>
      </c>
      <c r="B463" s="15">
        <v>10</v>
      </c>
    </row>
    <row r="464" spans="1:2" ht="15.75" customHeight="1">
      <c r="A464" s="17" t="s">
        <v>508</v>
      </c>
      <c r="B464" s="15">
        <v>0.66137566137566139</v>
      </c>
    </row>
    <row r="465" spans="1:2" ht="15.75" customHeight="1">
      <c r="A465" s="17" t="s">
        <v>509</v>
      </c>
      <c r="B465" s="15">
        <v>0.41934995241521128</v>
      </c>
    </row>
    <row r="466" spans="1:2" ht="15.75" customHeight="1">
      <c r="A466" s="17" t="s">
        <v>510</v>
      </c>
      <c r="B466" s="15">
        <v>0.50909090909090915</v>
      </c>
    </row>
    <row r="467" spans="1:2" ht="15.75" customHeight="1">
      <c r="A467" s="17" t="s">
        <v>511</v>
      </c>
      <c r="B467" s="15">
        <v>0.52286363636363631</v>
      </c>
    </row>
    <row r="468" spans="1:2" ht="15.75" customHeight="1">
      <c r="A468" s="17" t="s">
        <v>512</v>
      </c>
      <c r="B468" s="15">
        <v>1.1023099999999999</v>
      </c>
    </row>
    <row r="469" spans="1:2" ht="15.75" customHeight="1">
      <c r="A469" s="17" t="s">
        <v>513</v>
      </c>
      <c r="B469" s="15">
        <v>1.8193999999999999</v>
      </c>
    </row>
    <row r="470" spans="1:2" ht="15.75" customHeight="1">
      <c r="A470" s="17" t="s">
        <v>514</v>
      </c>
      <c r="B470" s="15">
        <v>1.871085514324645</v>
      </c>
    </row>
    <row r="471" spans="1:2" ht="15.75" customHeight="1">
      <c r="A471" s="17" t="s">
        <v>515</v>
      </c>
      <c r="B471" s="15">
        <v>1.8996518879443409</v>
      </c>
    </row>
    <row r="472" spans="1:2" ht="15.75" customHeight="1">
      <c r="A472" s="17" t="s">
        <v>516</v>
      </c>
      <c r="B472" s="15">
        <v>2.5453493565258269</v>
      </c>
    </row>
    <row r="473" spans="1:2" ht="15.75" customHeight="1">
      <c r="A473" s="17" t="s">
        <v>517</v>
      </c>
      <c r="B473" s="15">
        <v>0.57205720572057206</v>
      </c>
    </row>
    <row r="474" spans="1:2" ht="15.75" customHeight="1">
      <c r="A474" s="17" t="s">
        <v>518</v>
      </c>
      <c r="B474" s="15">
        <v>1.3227719999999998</v>
      </c>
    </row>
    <row r="475" spans="1:2" ht="15.75" customHeight="1">
      <c r="A475" s="17" t="s">
        <v>519</v>
      </c>
      <c r="B475" s="15">
        <v>10.869565217391305</v>
      </c>
    </row>
    <row r="476" spans="1:2" ht="15.75" customHeight="1">
      <c r="A476" s="17" t="s">
        <v>520</v>
      </c>
      <c r="B476" s="15">
        <v>10.869565217391305</v>
      </c>
    </row>
    <row r="477" spans="1:2" ht="15.75" customHeight="1">
      <c r="A477" s="17" t="s">
        <v>521</v>
      </c>
      <c r="B477" s="15"/>
    </row>
    <row r="478" spans="1:2" ht="15.75" customHeight="1">
      <c r="A478" s="17" t="s">
        <v>523</v>
      </c>
      <c r="B478" s="15"/>
    </row>
    <row r="479" spans="1:2" ht="15.75" customHeight="1">
      <c r="A479" s="17" t="s">
        <v>525</v>
      </c>
      <c r="B479" s="15"/>
    </row>
    <row r="480" spans="1:2" ht="15.75" customHeight="1">
      <c r="A480" s="17" t="s">
        <v>527</v>
      </c>
      <c r="B480" s="15"/>
    </row>
    <row r="481" spans="1:2" ht="15.75" customHeight="1">
      <c r="A481" s="17" t="s">
        <v>528</v>
      </c>
      <c r="B481" s="15"/>
    </row>
    <row r="482" spans="1:2" ht="15.75" customHeight="1">
      <c r="A482" s="17" t="s">
        <v>530</v>
      </c>
      <c r="B482" s="15">
        <v>0.46389321563210462</v>
      </c>
    </row>
    <row r="483" spans="1:2" ht="15.75" customHeight="1">
      <c r="A483" s="17" t="s">
        <v>531</v>
      </c>
      <c r="B483" s="15">
        <v>0.27597427408702407</v>
      </c>
    </row>
    <row r="484" spans="1:2" ht="15.75" customHeight="1">
      <c r="A484" s="17" t="s">
        <v>532</v>
      </c>
      <c r="B484" s="15">
        <v>0.33884505268967052</v>
      </c>
    </row>
    <row r="485" spans="1:2" ht="15.75" customHeight="1">
      <c r="A485" s="17" t="s">
        <v>533</v>
      </c>
      <c r="B485" s="15">
        <v>1.375</v>
      </c>
    </row>
    <row r="486" spans="1:2" ht="15.75" customHeight="1">
      <c r="A486" s="17" t="s">
        <v>534</v>
      </c>
      <c r="B486" s="15">
        <v>0.30030431370729882</v>
      </c>
    </row>
    <row r="487" spans="1:2" ht="15.75" customHeight="1">
      <c r="A487" s="17" t="s">
        <v>535</v>
      </c>
      <c r="B487" s="15">
        <v>0.38503850385038502</v>
      </c>
    </row>
    <row r="488" spans="1:2" ht="15.75" customHeight="1">
      <c r="A488" s="17" t="s">
        <v>536</v>
      </c>
      <c r="B488" s="15">
        <v>0.2476666666666667</v>
      </c>
    </row>
    <row r="489" spans="1:2" ht="15.75" customHeight="1">
      <c r="A489" s="17" t="s">
        <v>537</v>
      </c>
      <c r="B489" s="15">
        <v>0.49504950495049505</v>
      </c>
    </row>
    <row r="490" spans="1:2" ht="15.75" customHeight="1">
      <c r="A490" s="17" t="s">
        <v>538</v>
      </c>
      <c r="B490" s="15"/>
    </row>
    <row r="491" spans="1:2" ht="15.75" customHeight="1">
      <c r="A491" s="17" t="s">
        <v>541</v>
      </c>
      <c r="B491" s="15">
        <v>2.6717540144101473</v>
      </c>
    </row>
    <row r="492" spans="1:2" ht="15.75" customHeight="1"/>
    <row r="493" spans="1:2" ht="15.75" customHeight="1"/>
    <row r="494" spans="1:2" ht="15.75" customHeight="1"/>
    <row r="495" spans="1:2" ht="15.75" customHeight="1"/>
    <row r="496" spans="1:2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1" workbookViewId="0">
      <selection activeCell="C16" sqref="C16"/>
    </sheetView>
  </sheetViews>
  <sheetFormatPr baseColWidth="10" defaultColWidth="14.44140625" defaultRowHeight="15" customHeight="1"/>
  <cols>
    <col min="1" max="1" width="69.88671875" customWidth="1"/>
    <col min="2" max="2" width="11.5546875" customWidth="1"/>
    <col min="3" max="3" width="196.109375" customWidth="1"/>
    <col min="4" max="26" width="10.6640625" customWidth="1"/>
  </cols>
  <sheetData>
    <row r="1" spans="1:26" ht="14.4">
      <c r="A1" s="18" t="s">
        <v>542</v>
      </c>
      <c r="B1" s="19" t="s">
        <v>1</v>
      </c>
      <c r="C1" s="18" t="s">
        <v>543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4">
      <c r="A2" s="13" t="s">
        <v>2</v>
      </c>
      <c r="B2" s="20">
        <v>5.9</v>
      </c>
      <c r="C2" s="13" t="s">
        <v>544</v>
      </c>
    </row>
    <row r="3" spans="1:26" ht="14.4">
      <c r="A3" s="13" t="s">
        <v>3</v>
      </c>
      <c r="B3" s="20">
        <v>1.2970602103733231</v>
      </c>
      <c r="C3" s="13" t="s">
        <v>545</v>
      </c>
    </row>
    <row r="4" spans="1:26" ht="14.4">
      <c r="A4" s="13" t="s">
        <v>4</v>
      </c>
      <c r="B4" s="20">
        <v>1.2873185714285711</v>
      </c>
      <c r="C4" s="13" t="s">
        <v>545</v>
      </c>
    </row>
    <row r="5" spans="1:26" ht="14.4">
      <c r="A5" s="13" t="s">
        <v>5</v>
      </c>
      <c r="B5" s="20">
        <v>1.6205052083333329</v>
      </c>
      <c r="C5" s="13" t="s">
        <v>545</v>
      </c>
    </row>
    <row r="6" spans="1:26" ht="14.4">
      <c r="A6" s="13" t="s">
        <v>6</v>
      </c>
      <c r="B6" s="20">
        <v>2.8637436022027858</v>
      </c>
      <c r="C6" s="13" t="s">
        <v>545</v>
      </c>
    </row>
    <row r="7" spans="1:26" ht="14.4">
      <c r="A7" s="13" t="s">
        <v>7</v>
      </c>
      <c r="B7" s="20">
        <v>3.1220565521694552</v>
      </c>
      <c r="C7" s="13" t="s">
        <v>545</v>
      </c>
    </row>
    <row r="8" spans="1:26" ht="14.4">
      <c r="A8" s="13" t="s">
        <v>8</v>
      </c>
      <c r="B8" s="20">
        <v>4.4376505172459124</v>
      </c>
      <c r="C8" s="13" t="s">
        <v>545</v>
      </c>
    </row>
    <row r="9" spans="1:26" ht="14.4">
      <c r="A9" s="13" t="s">
        <v>9</v>
      </c>
      <c r="B9" s="20">
        <v>0.27557749999999998</v>
      </c>
      <c r="C9" s="13" t="s">
        <v>546</v>
      </c>
    </row>
    <row r="10" spans="1:26" ht="14.4">
      <c r="A10" s="13" t="s">
        <v>10</v>
      </c>
      <c r="B10" s="20">
        <v>6.24</v>
      </c>
      <c r="C10" s="13" t="s">
        <v>547</v>
      </c>
    </row>
    <row r="11" spans="1:26" ht="14.4">
      <c r="A11" s="13" t="s">
        <v>11</v>
      </c>
      <c r="B11" s="20">
        <v>0.71507150715071499</v>
      </c>
      <c r="C11" s="13" t="s">
        <v>544</v>
      </c>
    </row>
    <row r="12" spans="1:26" ht="14.4">
      <c r="A12" s="13" t="s">
        <v>12</v>
      </c>
      <c r="B12" s="20">
        <v>6.24</v>
      </c>
      <c r="C12" s="13" t="s">
        <v>547</v>
      </c>
    </row>
    <row r="13" spans="1:26" ht="14.4">
      <c r="A13" s="13" t="s">
        <v>13</v>
      </c>
      <c r="B13" s="20">
        <v>0.66006600660066006</v>
      </c>
      <c r="C13" s="13" t="s">
        <v>544</v>
      </c>
    </row>
    <row r="14" spans="1:26" ht="14.4">
      <c r="A14" s="13" t="s">
        <v>14</v>
      </c>
      <c r="B14" s="20">
        <v>1.4924977368310699</v>
      </c>
      <c r="C14" s="13" t="s">
        <v>545</v>
      </c>
    </row>
    <row r="15" spans="1:26" ht="14.4">
      <c r="A15" s="13" t="s">
        <v>15</v>
      </c>
      <c r="B15" s="20">
        <v>0.9</v>
      </c>
      <c r="C15" s="13" t="s">
        <v>544</v>
      </c>
    </row>
    <row r="16" spans="1:26" ht="14.4">
      <c r="A16" s="13" t="s">
        <v>16</v>
      </c>
      <c r="B16" s="20">
        <v>0.60506050605060502</v>
      </c>
      <c r="C16" s="13" t="s">
        <v>544</v>
      </c>
    </row>
    <row r="17" spans="1:3" ht="14.4">
      <c r="A17" s="13" t="s">
        <v>17</v>
      </c>
      <c r="B17" s="20">
        <v>1.841888986729193</v>
      </c>
      <c r="C17" s="13" t="s">
        <v>545</v>
      </c>
    </row>
    <row r="18" spans="1:3" ht="14.4">
      <c r="A18" s="13" t="s">
        <v>18</v>
      </c>
      <c r="B18" s="20">
        <v>0.99009900990099009</v>
      </c>
      <c r="C18" s="13" t="s">
        <v>544</v>
      </c>
    </row>
    <row r="19" spans="1:3" ht="14.4">
      <c r="A19" s="13" t="s">
        <v>19</v>
      </c>
      <c r="B19" s="20">
        <v>3</v>
      </c>
      <c r="C19" s="21" t="s">
        <v>548</v>
      </c>
    </row>
    <row r="20" spans="1:3" ht="14.4">
      <c r="A20" s="13" t="s">
        <v>20</v>
      </c>
      <c r="B20" s="20">
        <v>2.5</v>
      </c>
      <c r="C20" s="13" t="s">
        <v>549</v>
      </c>
    </row>
    <row r="21" spans="1:3" ht="15.75" customHeight="1">
      <c r="A21" s="13" t="s">
        <v>21</v>
      </c>
      <c r="B21" s="20">
        <v>0.66006600660066006</v>
      </c>
      <c r="C21" s="13" t="s">
        <v>544</v>
      </c>
    </row>
    <row r="22" spans="1:3" ht="15.75" customHeight="1">
      <c r="A22" s="13" t="s">
        <v>22</v>
      </c>
      <c r="B22" s="20">
        <v>3.3069299999999995</v>
      </c>
      <c r="C22" s="13" t="s">
        <v>550</v>
      </c>
    </row>
    <row r="23" spans="1:3" ht="15.75" customHeight="1">
      <c r="A23" s="13" t="s">
        <v>23</v>
      </c>
      <c r="B23" s="20">
        <v>6.24</v>
      </c>
      <c r="C23" s="13" t="s">
        <v>547</v>
      </c>
    </row>
    <row r="24" spans="1:3" ht="15.75" customHeight="1">
      <c r="A24" s="13" t="s">
        <v>24</v>
      </c>
      <c r="B24" s="20">
        <v>6.24</v>
      </c>
      <c r="C24" s="13" t="s">
        <v>547</v>
      </c>
    </row>
    <row r="25" spans="1:3" ht="15.75" customHeight="1">
      <c r="A25" s="13" t="s">
        <v>25</v>
      </c>
      <c r="B25" s="20">
        <v>6</v>
      </c>
      <c r="C25" s="13" t="s">
        <v>544</v>
      </c>
    </row>
    <row r="26" spans="1:3" ht="15.75" customHeight="1">
      <c r="A26" s="13" t="s">
        <v>26</v>
      </c>
      <c r="B26" s="20"/>
      <c r="C26" s="13"/>
    </row>
    <row r="27" spans="1:3" ht="15.75" customHeight="1">
      <c r="A27" s="13" t="s">
        <v>28</v>
      </c>
      <c r="B27" s="20"/>
      <c r="C27" s="13"/>
    </row>
    <row r="28" spans="1:3" ht="15.75" customHeight="1">
      <c r="A28" s="13" t="s">
        <v>29</v>
      </c>
      <c r="B28" s="20">
        <v>0.16428571428571428</v>
      </c>
      <c r="C28" s="13" t="s">
        <v>544</v>
      </c>
    </row>
    <row r="29" spans="1:3" ht="15.75" customHeight="1">
      <c r="A29" s="13" t="s">
        <v>30</v>
      </c>
      <c r="B29" s="20"/>
      <c r="C29" s="13"/>
    </row>
    <row r="30" spans="1:3" ht="15.75" customHeight="1">
      <c r="A30" s="13" t="s">
        <v>31</v>
      </c>
      <c r="B30" s="20">
        <v>0.47166666666666668</v>
      </c>
      <c r="C30" s="13" t="s">
        <v>545</v>
      </c>
    </row>
    <row r="31" spans="1:3" ht="15.75" customHeight="1">
      <c r="A31" s="13" t="s">
        <v>32</v>
      </c>
      <c r="B31" s="20">
        <v>0.35</v>
      </c>
      <c r="C31" s="13" t="s">
        <v>551</v>
      </c>
    </row>
    <row r="32" spans="1:3" ht="15.75" customHeight="1">
      <c r="A32" s="13" t="s">
        <v>33</v>
      </c>
      <c r="B32" s="20">
        <v>0.528052805280528</v>
      </c>
      <c r="C32" s="13" t="s">
        <v>544</v>
      </c>
    </row>
    <row r="33" spans="1:3" ht="15.75" customHeight="1">
      <c r="A33" s="13" t="s">
        <v>34</v>
      </c>
      <c r="B33" s="20">
        <v>0.43223398629150889</v>
      </c>
      <c r="C33" s="13" t="s">
        <v>545</v>
      </c>
    </row>
    <row r="34" spans="1:3" ht="15.75" customHeight="1">
      <c r="A34" s="13" t="s">
        <v>35</v>
      </c>
      <c r="B34" s="20">
        <v>0.60506050605060502</v>
      </c>
      <c r="C34" s="13" t="s">
        <v>544</v>
      </c>
    </row>
    <row r="35" spans="1:3" ht="15.75" customHeight="1">
      <c r="A35" s="13" t="s">
        <v>36</v>
      </c>
      <c r="B35" s="20">
        <v>0.33684105565109279</v>
      </c>
      <c r="C35" s="13" t="s">
        <v>545</v>
      </c>
    </row>
    <row r="36" spans="1:3" ht="15.75" customHeight="1">
      <c r="A36" s="13" t="s">
        <v>37</v>
      </c>
      <c r="B36" s="20">
        <v>0.32007828166642749</v>
      </c>
      <c r="C36" s="13" t="s">
        <v>545</v>
      </c>
    </row>
    <row r="37" spans="1:3" ht="15.75" customHeight="1">
      <c r="A37" s="13" t="s">
        <v>38</v>
      </c>
      <c r="B37" s="20">
        <v>0.35106778454418519</v>
      </c>
      <c r="C37" s="13" t="s">
        <v>545</v>
      </c>
    </row>
    <row r="38" spans="1:3" ht="15.75" customHeight="1">
      <c r="A38" s="13" t="s">
        <v>39</v>
      </c>
      <c r="B38" s="20">
        <v>0.73170579805996461</v>
      </c>
      <c r="C38" s="13" t="s">
        <v>545</v>
      </c>
    </row>
    <row r="39" spans="1:3" ht="15.75" customHeight="1">
      <c r="A39" s="13" t="s">
        <v>40</v>
      </c>
      <c r="B39" s="20">
        <v>0.8635093623481781</v>
      </c>
      <c r="C39" s="13" t="s">
        <v>545</v>
      </c>
    </row>
    <row r="40" spans="1:3" ht="15.75" customHeight="1">
      <c r="A40" s="13" t="s">
        <v>40</v>
      </c>
      <c r="B40" s="20">
        <v>0.76624999999999999</v>
      </c>
      <c r="C40" s="13" t="s">
        <v>545</v>
      </c>
    </row>
    <row r="41" spans="1:3" ht="15.75" customHeight="1">
      <c r="A41" s="13" t="s">
        <v>41</v>
      </c>
      <c r="B41" s="20">
        <v>0.92332775919732446</v>
      </c>
      <c r="C41" s="13" t="s">
        <v>545</v>
      </c>
    </row>
    <row r="42" spans="1:3" ht="15.75" customHeight="1">
      <c r="A42" s="13" t="s">
        <v>42</v>
      </c>
      <c r="B42" s="20">
        <v>0.72133043774407413</v>
      </c>
      <c r="C42" s="13" t="s">
        <v>545</v>
      </c>
    </row>
    <row r="43" spans="1:3" ht="15.75" customHeight="1">
      <c r="A43" s="13" t="s">
        <v>42</v>
      </c>
      <c r="B43" s="20">
        <v>0.57511568781477185</v>
      </c>
      <c r="C43" s="13" t="s">
        <v>545</v>
      </c>
    </row>
    <row r="44" spans="1:3" ht="15.75" customHeight="1">
      <c r="A44" s="13" t="s">
        <v>43</v>
      </c>
      <c r="B44" s="20">
        <v>0.85493554690923113</v>
      </c>
      <c r="C44" s="13" t="s">
        <v>545</v>
      </c>
    </row>
    <row r="45" spans="1:3" ht="15.75" customHeight="1">
      <c r="A45" s="13" t="s">
        <v>43</v>
      </c>
      <c r="B45" s="20">
        <v>0.62262747158970078</v>
      </c>
      <c r="C45" s="13" t="s">
        <v>545</v>
      </c>
    </row>
    <row r="46" spans="1:3" ht="15.75" customHeight="1">
      <c r="A46" s="13" t="s">
        <v>44</v>
      </c>
      <c r="B46" s="20"/>
      <c r="C46" s="13"/>
    </row>
    <row r="47" spans="1:3" ht="15.75" customHeight="1">
      <c r="A47" s="13" t="s">
        <v>45</v>
      </c>
      <c r="B47" s="20">
        <v>1.104866903849663</v>
      </c>
      <c r="C47" s="13" t="s">
        <v>545</v>
      </c>
    </row>
    <row r="48" spans="1:3" ht="15.75" customHeight="1">
      <c r="A48" s="13" t="s">
        <v>46</v>
      </c>
      <c r="B48" s="20">
        <v>1.1000000000000001</v>
      </c>
      <c r="C48" s="13" t="s">
        <v>552</v>
      </c>
    </row>
    <row r="49" spans="1:3" ht="15.75" customHeight="1">
      <c r="A49" s="13" t="s">
        <v>47</v>
      </c>
      <c r="B49" s="20">
        <v>1.3227513227513228</v>
      </c>
      <c r="C49" s="13" t="s">
        <v>544</v>
      </c>
    </row>
    <row r="50" spans="1:3" ht="15.75" customHeight="1">
      <c r="A50" s="13" t="s">
        <v>48</v>
      </c>
      <c r="B50" s="20">
        <v>0.96275755399999996</v>
      </c>
      <c r="C50" s="13" t="s">
        <v>553</v>
      </c>
    </row>
    <row r="51" spans="1:3" ht="15.75" customHeight="1">
      <c r="A51" s="13" t="s">
        <v>49</v>
      </c>
      <c r="B51" s="20">
        <v>0.49504950495049505</v>
      </c>
      <c r="C51" s="13" t="s">
        <v>544</v>
      </c>
    </row>
    <row r="52" spans="1:3" ht="15.75" customHeight="1">
      <c r="A52" s="13" t="s">
        <v>50</v>
      </c>
      <c r="B52" s="20">
        <v>0.66138599999999992</v>
      </c>
      <c r="C52" s="13" t="s">
        <v>553</v>
      </c>
    </row>
    <row r="53" spans="1:3" ht="15.75" customHeight="1">
      <c r="A53" s="13" t="s">
        <v>51</v>
      </c>
      <c r="B53" s="20">
        <v>0.60506050605060502</v>
      </c>
      <c r="C53" s="13" t="s">
        <v>544</v>
      </c>
    </row>
    <row r="54" spans="1:3" ht="15.75" customHeight="1">
      <c r="A54" s="13" t="s">
        <v>52</v>
      </c>
      <c r="B54" s="20">
        <v>1.3227513227513228</v>
      </c>
      <c r="C54" s="13" t="s">
        <v>544</v>
      </c>
    </row>
    <row r="55" spans="1:3" ht="15.75" customHeight="1">
      <c r="A55" s="13" t="s">
        <v>53</v>
      </c>
      <c r="B55" s="20">
        <v>0.86956985413059174</v>
      </c>
      <c r="C55" s="13" t="s">
        <v>545</v>
      </c>
    </row>
    <row r="56" spans="1:3" ht="15.75" customHeight="1">
      <c r="A56" s="13" t="s">
        <v>54</v>
      </c>
      <c r="B56" s="20">
        <v>1.156038700829086</v>
      </c>
      <c r="C56" s="13" t="s">
        <v>545</v>
      </c>
    </row>
    <row r="57" spans="1:3" ht="15.75" customHeight="1">
      <c r="A57" s="13" t="s">
        <v>55</v>
      </c>
      <c r="B57" s="20"/>
      <c r="C57" s="13"/>
    </row>
    <row r="58" spans="1:3" ht="15.75" customHeight="1">
      <c r="A58" s="13" t="s">
        <v>56</v>
      </c>
      <c r="B58" s="20">
        <v>4.4400000000000004</v>
      </c>
      <c r="C58" s="13" t="s">
        <v>547</v>
      </c>
    </row>
    <row r="59" spans="1:3" ht="15.75" customHeight="1">
      <c r="A59" s="13" t="s">
        <v>57</v>
      </c>
      <c r="B59" s="20">
        <v>4.75</v>
      </c>
      <c r="C59" s="13" t="s">
        <v>547</v>
      </c>
    </row>
    <row r="60" spans="1:3" ht="15.75" customHeight="1">
      <c r="A60" s="13" t="s">
        <v>58</v>
      </c>
      <c r="B60" s="20">
        <v>1.1022927689594357</v>
      </c>
      <c r="C60" s="13" t="s">
        <v>544</v>
      </c>
    </row>
    <row r="61" spans="1:3" ht="15.75" customHeight="1">
      <c r="A61" s="13" t="s">
        <v>59</v>
      </c>
      <c r="B61" s="20">
        <v>1.0582175999999999</v>
      </c>
      <c r="C61" s="13" t="s">
        <v>553</v>
      </c>
    </row>
    <row r="62" spans="1:3" ht="15.75" customHeight="1">
      <c r="A62" s="13" t="s">
        <v>60</v>
      </c>
      <c r="B62" s="20"/>
      <c r="C62" s="13"/>
    </row>
    <row r="63" spans="1:3" ht="15.75" customHeight="1">
      <c r="A63" s="13" t="s">
        <v>62</v>
      </c>
      <c r="B63" s="20">
        <v>0.98064044602351053</v>
      </c>
      <c r="C63" s="13" t="s">
        <v>545</v>
      </c>
    </row>
    <row r="64" spans="1:3" ht="15.75" customHeight="1">
      <c r="A64" s="13" t="s">
        <v>63</v>
      </c>
      <c r="B64" s="20"/>
      <c r="C64" s="13"/>
    </row>
    <row r="65" spans="1:3" ht="15.75" customHeight="1">
      <c r="A65" s="13" t="s">
        <v>65</v>
      </c>
      <c r="B65" s="20">
        <v>0.41480133683393272</v>
      </c>
      <c r="C65" s="13" t="s">
        <v>545</v>
      </c>
    </row>
    <row r="66" spans="1:3" ht="15.75" customHeight="1">
      <c r="A66" s="13" t="s">
        <v>66</v>
      </c>
      <c r="B66" s="20">
        <v>0.53776509944162121</v>
      </c>
      <c r="C66" s="13" t="s">
        <v>545</v>
      </c>
    </row>
    <row r="67" spans="1:3" ht="15.75" customHeight="1">
      <c r="A67" s="13" t="s">
        <v>67</v>
      </c>
      <c r="B67" s="20">
        <v>0.62727272727272732</v>
      </c>
      <c r="C67" s="13" t="s">
        <v>545</v>
      </c>
    </row>
    <row r="68" spans="1:3" ht="15.75" customHeight="1">
      <c r="A68" s="13" t="s">
        <v>67</v>
      </c>
      <c r="B68" s="20">
        <v>0.77346782907210043</v>
      </c>
      <c r="C68" s="13" t="s">
        <v>545</v>
      </c>
    </row>
    <row r="69" spans="1:3" ht="15.75" customHeight="1">
      <c r="A69" s="13" t="s">
        <v>68</v>
      </c>
      <c r="B69" s="20">
        <v>0.56162968512968514</v>
      </c>
      <c r="C69" s="13" t="s">
        <v>545</v>
      </c>
    </row>
    <row r="70" spans="1:3" ht="15.75" customHeight="1">
      <c r="A70" s="13" t="s">
        <v>69</v>
      </c>
      <c r="B70" s="20">
        <v>0.47</v>
      </c>
      <c r="C70" s="13" t="s">
        <v>554</v>
      </c>
    </row>
    <row r="71" spans="1:3" ht="15.75" customHeight="1">
      <c r="A71" s="13" t="s">
        <v>70</v>
      </c>
      <c r="B71" s="20">
        <v>0.89</v>
      </c>
      <c r="C71" s="13" t="s">
        <v>545</v>
      </c>
    </row>
    <row r="72" spans="1:3" ht="15.75" customHeight="1">
      <c r="A72" s="13" t="s">
        <v>71</v>
      </c>
      <c r="B72" s="20">
        <v>0.4</v>
      </c>
      <c r="C72" s="13" t="s">
        <v>555</v>
      </c>
    </row>
    <row r="73" spans="1:3" ht="15.75" customHeight="1">
      <c r="A73" s="13" t="s">
        <v>72</v>
      </c>
      <c r="B73" s="20">
        <v>0.93414497737946489</v>
      </c>
      <c r="C73" s="13" t="s">
        <v>545</v>
      </c>
    </row>
    <row r="74" spans="1:3" ht="15.75" customHeight="1">
      <c r="A74" s="13" t="s">
        <v>73</v>
      </c>
      <c r="B74" s="20">
        <v>0.22182432195464111</v>
      </c>
      <c r="C74" s="13" t="s">
        <v>545</v>
      </c>
    </row>
    <row r="75" spans="1:3" ht="15.75" customHeight="1">
      <c r="A75" s="13" t="s">
        <v>74</v>
      </c>
      <c r="B75" s="20">
        <v>0.32006448202959831</v>
      </c>
      <c r="C75" s="13" t="s">
        <v>545</v>
      </c>
    </row>
    <row r="76" spans="1:3" ht="15.75" customHeight="1">
      <c r="A76" s="13" t="s">
        <v>75</v>
      </c>
      <c r="B76" s="20">
        <v>1.6046002309586971</v>
      </c>
      <c r="C76" s="13" t="s">
        <v>545</v>
      </c>
    </row>
    <row r="77" spans="1:3" ht="15.75" customHeight="1">
      <c r="A77" s="13" t="s">
        <v>76</v>
      </c>
      <c r="B77" s="20">
        <v>1.107674386261013</v>
      </c>
      <c r="C77" s="13" t="s">
        <v>545</v>
      </c>
    </row>
    <row r="78" spans="1:3" ht="15.75" customHeight="1">
      <c r="A78" s="13" t="s">
        <v>77</v>
      </c>
      <c r="B78" s="20">
        <v>0.93</v>
      </c>
      <c r="C78" s="13" t="s">
        <v>556</v>
      </c>
    </row>
    <row r="79" spans="1:3" ht="15.75" customHeight="1">
      <c r="A79" s="13" t="s">
        <v>78</v>
      </c>
      <c r="B79" s="20">
        <v>0.39119187441860465</v>
      </c>
      <c r="C79" s="13" t="s">
        <v>557</v>
      </c>
    </row>
    <row r="80" spans="1:3" ht="15.75" customHeight="1">
      <c r="A80" s="13" t="s">
        <v>79</v>
      </c>
      <c r="B80" s="20">
        <v>0.33124999999999999</v>
      </c>
      <c r="C80" s="13" t="s">
        <v>544</v>
      </c>
    </row>
    <row r="81" spans="1:3" ht="15.75" customHeight="1">
      <c r="A81" s="13" t="s">
        <v>80</v>
      </c>
      <c r="B81" s="20"/>
      <c r="C81" s="13"/>
    </row>
    <row r="82" spans="1:3" ht="15.75" customHeight="1">
      <c r="A82" s="13" t="s">
        <v>82</v>
      </c>
      <c r="B82" s="20">
        <v>4.5</v>
      </c>
      <c r="C82" s="13" t="s">
        <v>544</v>
      </c>
    </row>
    <row r="83" spans="1:3" ht="15.75" customHeight="1">
      <c r="A83" s="13" t="s">
        <v>83</v>
      </c>
      <c r="B83" s="20">
        <v>146.41999999999999</v>
      </c>
      <c r="C83" s="13" t="s">
        <v>558</v>
      </c>
    </row>
    <row r="84" spans="1:3" ht="15.75" customHeight="1">
      <c r="A84" s="13" t="s">
        <v>84</v>
      </c>
      <c r="B84" s="20">
        <v>3.3631759259259262</v>
      </c>
      <c r="C84" s="13" t="s">
        <v>545</v>
      </c>
    </row>
    <row r="85" spans="1:3" ht="15.75" customHeight="1">
      <c r="A85" s="13" t="s">
        <v>86</v>
      </c>
      <c r="B85" s="20">
        <v>1.788583333333333</v>
      </c>
      <c r="C85" s="13" t="s">
        <v>545</v>
      </c>
    </row>
    <row r="86" spans="1:3" ht="15.75" customHeight="1">
      <c r="A86" s="13" t="s">
        <v>87</v>
      </c>
      <c r="B86" s="20">
        <v>1.778966666666667</v>
      </c>
      <c r="C86" s="13" t="s">
        <v>545</v>
      </c>
    </row>
    <row r="87" spans="1:3" ht="15.75" customHeight="1">
      <c r="A87" s="13" t="s">
        <v>88</v>
      </c>
      <c r="B87" s="20">
        <v>1.452233333333333</v>
      </c>
      <c r="C87" s="13" t="s">
        <v>545</v>
      </c>
    </row>
    <row r="88" spans="1:3" ht="15.75" customHeight="1">
      <c r="A88" s="13" t="s">
        <v>89</v>
      </c>
      <c r="B88" s="20">
        <v>1.5459333333333329</v>
      </c>
      <c r="C88" s="13" t="s">
        <v>545</v>
      </c>
    </row>
    <row r="89" spans="1:3" ht="15.75" customHeight="1">
      <c r="A89" s="13" t="s">
        <v>90</v>
      </c>
      <c r="B89" s="20"/>
      <c r="C89" s="13"/>
    </row>
    <row r="90" spans="1:3" ht="15.75" customHeight="1">
      <c r="A90" s="13" t="s">
        <v>92</v>
      </c>
      <c r="B90" s="20">
        <v>0.66500000000000004</v>
      </c>
      <c r="C90" s="13" t="s">
        <v>544</v>
      </c>
    </row>
    <row r="91" spans="1:3" ht="15.75" customHeight="1">
      <c r="A91" s="13" t="s">
        <v>93</v>
      </c>
      <c r="B91" s="20">
        <v>2.753565840867807</v>
      </c>
      <c r="C91" s="13" t="s">
        <v>545</v>
      </c>
    </row>
    <row r="92" spans="1:3" ht="15.75" customHeight="1">
      <c r="A92" s="13" t="s">
        <v>93</v>
      </c>
      <c r="B92" s="20">
        <v>0.544269314019314</v>
      </c>
      <c r="C92" s="13" t="s">
        <v>545</v>
      </c>
    </row>
    <row r="93" spans="1:3" ht="15.75" customHeight="1">
      <c r="A93" s="13" t="s">
        <v>93</v>
      </c>
      <c r="B93" s="20">
        <v>0.29955298166689498</v>
      </c>
      <c r="C93" s="13" t="s">
        <v>545</v>
      </c>
    </row>
    <row r="94" spans="1:3" ht="15.75" customHeight="1">
      <c r="A94" s="13" t="s">
        <v>94</v>
      </c>
      <c r="B94" s="20"/>
      <c r="C94" s="13"/>
    </row>
    <row r="95" spans="1:3" ht="15.75" customHeight="1">
      <c r="A95" s="13" t="s">
        <v>96</v>
      </c>
      <c r="B95" s="20">
        <v>0.77007700770077003</v>
      </c>
      <c r="C95" s="13" t="s">
        <v>544</v>
      </c>
    </row>
    <row r="96" spans="1:3" ht="15.75" customHeight="1">
      <c r="A96" s="13" t="s">
        <v>97</v>
      </c>
      <c r="B96" s="20">
        <v>2.373918926467053</v>
      </c>
      <c r="C96" s="13" t="s">
        <v>545</v>
      </c>
    </row>
    <row r="97" spans="1:3" ht="15.75" customHeight="1">
      <c r="A97" s="13" t="s">
        <v>98</v>
      </c>
      <c r="B97" s="20">
        <v>1.6146636879999998</v>
      </c>
      <c r="C97" s="13" t="s">
        <v>557</v>
      </c>
    </row>
    <row r="98" spans="1:3" ht="15.75" customHeight="1">
      <c r="A98" s="13" t="s">
        <v>99</v>
      </c>
      <c r="B98" s="20">
        <v>1.8548736727086961</v>
      </c>
      <c r="C98" s="13" t="s">
        <v>545</v>
      </c>
    </row>
    <row r="99" spans="1:3" ht="15.75" customHeight="1">
      <c r="A99" s="13" t="s">
        <v>100</v>
      </c>
      <c r="B99" s="20">
        <v>1.9739</v>
      </c>
      <c r="C99" s="13" t="s">
        <v>551</v>
      </c>
    </row>
    <row r="100" spans="1:3" ht="15.75" customHeight="1">
      <c r="A100" s="13" t="s">
        <v>101</v>
      </c>
      <c r="B100" s="20">
        <v>2.0661999999999998</v>
      </c>
      <c r="C100" s="13" t="s">
        <v>551</v>
      </c>
    </row>
    <row r="101" spans="1:3" ht="15.75" customHeight="1">
      <c r="A101" s="13" t="s">
        <v>102</v>
      </c>
      <c r="B101" s="20">
        <v>1.5432370941286444</v>
      </c>
      <c r="C101" s="13" t="s">
        <v>544</v>
      </c>
    </row>
    <row r="102" spans="1:3" ht="15.75" customHeight="1">
      <c r="A102" s="13" t="s">
        <v>103</v>
      </c>
      <c r="B102" s="20">
        <v>88.736132912397039</v>
      </c>
      <c r="C102" s="13" t="s">
        <v>544</v>
      </c>
    </row>
    <row r="103" spans="1:3" ht="15.75" customHeight="1">
      <c r="A103" s="13" t="s">
        <v>104</v>
      </c>
      <c r="B103" s="20">
        <v>0.70840000000000003</v>
      </c>
      <c r="C103" s="13" t="s">
        <v>551</v>
      </c>
    </row>
    <row r="104" spans="1:3" ht="15.75" customHeight="1">
      <c r="A104" s="13" t="s">
        <v>105</v>
      </c>
      <c r="B104" s="20">
        <v>2.0981000000000001</v>
      </c>
      <c r="C104" s="13" t="s">
        <v>559</v>
      </c>
    </row>
    <row r="105" spans="1:3" ht="15.75" customHeight="1">
      <c r="A105" s="13" t="s">
        <v>106</v>
      </c>
      <c r="B105" s="20">
        <v>1.90444605891674</v>
      </c>
      <c r="C105" s="13" t="s">
        <v>545</v>
      </c>
    </row>
    <row r="106" spans="1:3" ht="15.75" customHeight="1">
      <c r="A106" s="13" t="s">
        <v>107</v>
      </c>
      <c r="B106" s="20">
        <v>3.5825146827986383</v>
      </c>
      <c r="C106" s="13" t="s">
        <v>544</v>
      </c>
    </row>
    <row r="107" spans="1:3" ht="15.75" customHeight="1">
      <c r="A107" s="13" t="s">
        <v>108</v>
      </c>
      <c r="B107" s="20">
        <v>4.1887863983491771</v>
      </c>
      <c r="C107" s="13" t="s">
        <v>544</v>
      </c>
    </row>
    <row r="108" spans="1:3" ht="15.75" customHeight="1">
      <c r="A108" s="13" t="s">
        <v>109</v>
      </c>
      <c r="B108" s="20">
        <v>0.67</v>
      </c>
      <c r="C108" s="13" t="s">
        <v>551</v>
      </c>
    </row>
    <row r="109" spans="1:3" ht="15.75" customHeight="1">
      <c r="A109" s="13" t="s">
        <v>110</v>
      </c>
      <c r="B109" s="20">
        <v>0.57379999999999998</v>
      </c>
      <c r="C109" s="13" t="s">
        <v>551</v>
      </c>
    </row>
    <row r="110" spans="1:3" ht="15.75" customHeight="1">
      <c r="A110" s="13" t="s">
        <v>111</v>
      </c>
      <c r="B110" s="20">
        <v>5.6314166666666674</v>
      </c>
      <c r="C110" s="13" t="s">
        <v>545</v>
      </c>
    </row>
    <row r="111" spans="1:3" ht="15.75" customHeight="1">
      <c r="A111" s="13" t="s">
        <v>112</v>
      </c>
      <c r="B111" s="20">
        <v>0</v>
      </c>
      <c r="C111" s="13"/>
    </row>
    <row r="112" spans="1:3" ht="15.75" customHeight="1">
      <c r="A112" s="13" t="s">
        <v>113</v>
      </c>
      <c r="B112" s="20">
        <v>1.9731348999999998</v>
      </c>
      <c r="C112" s="13" t="s">
        <v>560</v>
      </c>
    </row>
    <row r="113" spans="1:3" ht="15.75" customHeight="1">
      <c r="A113" s="13" t="s">
        <v>114</v>
      </c>
      <c r="B113" s="20">
        <v>4.5599999999999996</v>
      </c>
      <c r="C113" s="13" t="s">
        <v>551</v>
      </c>
    </row>
    <row r="114" spans="1:3" ht="15.75" customHeight="1">
      <c r="A114" s="13" t="s">
        <v>115</v>
      </c>
      <c r="B114" s="20">
        <v>3.4683081840000001</v>
      </c>
      <c r="C114" s="13" t="s">
        <v>561</v>
      </c>
    </row>
    <row r="115" spans="1:3" ht="15.75" customHeight="1">
      <c r="A115" s="13" t="s">
        <v>116</v>
      </c>
      <c r="B115" s="20">
        <v>3.45</v>
      </c>
      <c r="C115" s="13" t="s">
        <v>551</v>
      </c>
    </row>
    <row r="116" spans="1:3" ht="15.75" customHeight="1">
      <c r="A116" s="13" t="s">
        <v>117</v>
      </c>
      <c r="B116" s="20">
        <v>4.3903982485437592</v>
      </c>
      <c r="C116" s="13" t="s">
        <v>545</v>
      </c>
    </row>
    <row r="117" spans="1:3" ht="15.75" customHeight="1">
      <c r="A117" s="13" t="s">
        <v>118</v>
      </c>
      <c r="B117" s="20">
        <v>3.9682539682539684</v>
      </c>
      <c r="C117" s="13" t="s">
        <v>544</v>
      </c>
    </row>
    <row r="118" spans="1:3" ht="15.75" customHeight="1">
      <c r="A118" s="13" t="s">
        <v>119</v>
      </c>
      <c r="B118" s="20">
        <v>1.2125220458553791</v>
      </c>
      <c r="C118" s="13" t="s">
        <v>544</v>
      </c>
    </row>
    <row r="119" spans="1:3" ht="15.75" customHeight="1">
      <c r="A119" s="13" t="s">
        <v>120</v>
      </c>
      <c r="B119" s="20">
        <v>2.2675378749999999</v>
      </c>
      <c r="C119" s="13" t="s">
        <v>545</v>
      </c>
    </row>
    <row r="120" spans="1:3" ht="15.75" customHeight="1">
      <c r="A120" s="13" t="s">
        <v>121</v>
      </c>
      <c r="B120" s="20">
        <v>0</v>
      </c>
      <c r="C120" s="13"/>
    </row>
    <row r="121" spans="1:3" ht="15.75" customHeight="1">
      <c r="A121" s="13" t="s">
        <v>122</v>
      </c>
      <c r="B121" s="20">
        <v>1.2813000000000001</v>
      </c>
      <c r="C121" s="13" t="s">
        <v>551</v>
      </c>
    </row>
    <row r="122" spans="1:3" ht="15.75" customHeight="1">
      <c r="A122" s="13" t="s">
        <v>123</v>
      </c>
      <c r="B122" s="20">
        <v>1.2866162319999999</v>
      </c>
      <c r="C122" s="13" t="s">
        <v>561</v>
      </c>
    </row>
    <row r="123" spans="1:3" ht="15.75" customHeight="1">
      <c r="A123" s="13" t="s">
        <v>124</v>
      </c>
      <c r="B123" s="20">
        <v>0.48018016921036638</v>
      </c>
      <c r="C123" s="13" t="s">
        <v>545</v>
      </c>
    </row>
    <row r="124" spans="1:3" ht="15.75" customHeight="1">
      <c r="A124" s="13" t="s">
        <v>125</v>
      </c>
      <c r="B124" s="20">
        <v>1.6611661166116611</v>
      </c>
      <c r="C124" s="13" t="s">
        <v>544</v>
      </c>
    </row>
    <row r="125" spans="1:3" ht="15.75" customHeight="1">
      <c r="A125" s="13" t="s">
        <v>126</v>
      </c>
      <c r="B125" s="20">
        <v>1.6611661166116611</v>
      </c>
      <c r="C125" s="13" t="s">
        <v>544</v>
      </c>
    </row>
    <row r="126" spans="1:3" ht="15.75" customHeight="1">
      <c r="A126" s="13" t="s">
        <v>127</v>
      </c>
      <c r="B126" s="20"/>
      <c r="C126" s="13"/>
    </row>
    <row r="127" spans="1:3" ht="15.75" customHeight="1">
      <c r="A127" s="13" t="s">
        <v>129</v>
      </c>
      <c r="B127" s="20">
        <v>0.38503850385038502</v>
      </c>
      <c r="C127" s="13" t="s">
        <v>544</v>
      </c>
    </row>
    <row r="128" spans="1:3" ht="15.75" customHeight="1">
      <c r="A128" s="13" t="s">
        <v>130</v>
      </c>
      <c r="B128" s="20">
        <v>3.04E-2</v>
      </c>
      <c r="C128" s="13" t="s">
        <v>557</v>
      </c>
    </row>
    <row r="129" spans="1:3" ht="15.75" customHeight="1">
      <c r="A129" s="13" t="s">
        <v>131</v>
      </c>
      <c r="B129" s="20">
        <v>1.6810227499999997</v>
      </c>
      <c r="C129" s="13" t="s">
        <v>562</v>
      </c>
    </row>
    <row r="130" spans="1:3" ht="15.75" customHeight="1">
      <c r="A130" s="13" t="s">
        <v>132</v>
      </c>
      <c r="B130" s="20">
        <v>0.20499999999999999</v>
      </c>
      <c r="C130" s="13" t="s">
        <v>562</v>
      </c>
    </row>
    <row r="131" spans="1:3" ht="15.75" customHeight="1">
      <c r="A131" s="13" t="s">
        <v>133</v>
      </c>
      <c r="B131" s="20">
        <v>0.121012101210121</v>
      </c>
      <c r="C131" s="13" t="s">
        <v>544</v>
      </c>
    </row>
    <row r="132" spans="1:3" ht="15.75" customHeight="1">
      <c r="A132" s="13" t="s">
        <v>134</v>
      </c>
      <c r="B132" s="20">
        <v>1.6776677667766775</v>
      </c>
      <c r="C132" s="13" t="s">
        <v>544</v>
      </c>
    </row>
    <row r="133" spans="1:3" ht="15.75" customHeight="1">
      <c r="A133" s="13" t="s">
        <v>135</v>
      </c>
      <c r="B133" s="20">
        <v>0.20499999999999999</v>
      </c>
      <c r="C133" s="13" t="s">
        <v>562</v>
      </c>
    </row>
    <row r="134" spans="1:3" ht="15.75" customHeight="1">
      <c r="A134" s="13" t="s">
        <v>136</v>
      </c>
      <c r="B134" s="20">
        <v>0.20499999999999999</v>
      </c>
      <c r="C134" s="13" t="s">
        <v>562</v>
      </c>
    </row>
    <row r="135" spans="1:3" ht="15.75" customHeight="1">
      <c r="A135" s="13" t="s">
        <v>137</v>
      </c>
      <c r="B135" s="20">
        <v>0.34190476190476188</v>
      </c>
      <c r="C135" s="13" t="s">
        <v>545</v>
      </c>
    </row>
    <row r="136" spans="1:3" ht="15.75" customHeight="1">
      <c r="A136" s="13" t="s">
        <v>138</v>
      </c>
      <c r="B136" s="20">
        <v>2.5000541997955108</v>
      </c>
      <c r="C136" s="13" t="s">
        <v>545</v>
      </c>
    </row>
    <row r="137" spans="1:3" ht="15.75" customHeight="1">
      <c r="A137" s="13" t="s">
        <v>139</v>
      </c>
      <c r="B137" s="20">
        <v>3.5049999999999998E-2</v>
      </c>
      <c r="C137" s="13" t="s">
        <v>563</v>
      </c>
    </row>
    <row r="138" spans="1:3" ht="15.75" customHeight="1">
      <c r="A138" s="13" t="s">
        <v>140</v>
      </c>
      <c r="B138" s="20">
        <v>6.7796000000000003</v>
      </c>
      <c r="C138" s="13" t="s">
        <v>564</v>
      </c>
    </row>
    <row r="139" spans="1:3" ht="15.75" customHeight="1">
      <c r="A139" s="13" t="s">
        <v>141</v>
      </c>
      <c r="B139" s="20">
        <v>2.38</v>
      </c>
      <c r="C139" s="13" t="s">
        <v>565</v>
      </c>
    </row>
    <row r="140" spans="1:3" ht="15.75" customHeight="1">
      <c r="A140" s="13" t="s">
        <v>142</v>
      </c>
      <c r="B140" s="20">
        <v>6.24</v>
      </c>
      <c r="C140" s="13" t="s">
        <v>547</v>
      </c>
    </row>
    <row r="141" spans="1:3" ht="15.75" customHeight="1">
      <c r="A141" s="13" t="s">
        <v>143</v>
      </c>
      <c r="B141" s="20"/>
      <c r="C141" s="13"/>
    </row>
    <row r="142" spans="1:3" ht="15.75" customHeight="1">
      <c r="A142" s="13" t="s">
        <v>145</v>
      </c>
      <c r="B142" s="20">
        <v>1.045104510451045</v>
      </c>
      <c r="C142" s="13" t="s">
        <v>544</v>
      </c>
    </row>
    <row r="143" spans="1:3" ht="15.75" customHeight="1">
      <c r="A143" s="13" t="s">
        <v>146</v>
      </c>
      <c r="B143" s="20">
        <v>0.51235416666666667</v>
      </c>
      <c r="C143" s="13" t="s">
        <v>545</v>
      </c>
    </row>
    <row r="144" spans="1:3" ht="15.75" customHeight="1">
      <c r="A144" s="13" t="s">
        <v>147</v>
      </c>
      <c r="B144" s="20">
        <v>0.82673249999999987</v>
      </c>
      <c r="C144" s="13" t="s">
        <v>566</v>
      </c>
    </row>
    <row r="145" spans="1:3" ht="15.75" customHeight="1">
      <c r="A145" s="13" t="s">
        <v>148</v>
      </c>
      <c r="B145" s="20">
        <v>0.16501650165016502</v>
      </c>
      <c r="C145" s="13" t="s">
        <v>544</v>
      </c>
    </row>
    <row r="146" spans="1:3" ht="15.75" customHeight="1">
      <c r="A146" s="13" t="s">
        <v>149</v>
      </c>
      <c r="B146" s="20">
        <v>0.77282793716699971</v>
      </c>
      <c r="C146" s="13" t="s">
        <v>545</v>
      </c>
    </row>
    <row r="147" spans="1:3" ht="15.75" customHeight="1">
      <c r="A147" s="13" t="s">
        <v>150</v>
      </c>
      <c r="B147" s="20">
        <v>0.60506050605060502</v>
      </c>
      <c r="C147" s="13" t="s">
        <v>544</v>
      </c>
    </row>
    <row r="148" spans="1:3" ht="15.75" customHeight="1">
      <c r="A148" s="13" t="s">
        <v>150</v>
      </c>
      <c r="B148" s="20">
        <v>0.44550000000000001</v>
      </c>
      <c r="C148" s="13" t="s">
        <v>552</v>
      </c>
    </row>
    <row r="149" spans="1:3" ht="15.75" customHeight="1">
      <c r="A149" s="13" t="s">
        <v>151</v>
      </c>
      <c r="B149" s="20">
        <v>0.41554364212176709</v>
      </c>
      <c r="C149" s="13" t="s">
        <v>545</v>
      </c>
    </row>
    <row r="150" spans="1:3" ht="15.75" customHeight="1">
      <c r="A150" s="13" t="s">
        <v>152</v>
      </c>
      <c r="B150" s="20">
        <v>0.46798079959256428</v>
      </c>
      <c r="C150" s="13" t="s">
        <v>545</v>
      </c>
    </row>
    <row r="151" spans="1:3" ht="15.75" customHeight="1">
      <c r="A151" s="13" t="s">
        <v>153</v>
      </c>
      <c r="B151" s="20">
        <v>0.52482407953998866</v>
      </c>
      <c r="C151" s="13" t="s">
        <v>545</v>
      </c>
    </row>
    <row r="152" spans="1:3" ht="15.75" customHeight="1">
      <c r="A152" s="13" t="s">
        <v>154</v>
      </c>
      <c r="B152" s="20">
        <v>0.36730507503866677</v>
      </c>
      <c r="C152" s="13" t="s">
        <v>545</v>
      </c>
    </row>
    <row r="153" spans="1:3" ht="15.75" customHeight="1">
      <c r="A153" s="13" t="s">
        <v>155</v>
      </c>
      <c r="B153" s="20">
        <v>0.33003300330033003</v>
      </c>
      <c r="C153" s="13" t="s">
        <v>544</v>
      </c>
    </row>
    <row r="154" spans="1:3" ht="15.75" customHeight="1">
      <c r="A154" s="13" t="s">
        <v>156</v>
      </c>
      <c r="B154" s="20">
        <v>0.55315957190957188</v>
      </c>
      <c r="C154" s="13" t="s">
        <v>545</v>
      </c>
    </row>
    <row r="155" spans="1:3" ht="15.75" customHeight="1">
      <c r="A155" s="13" t="s">
        <v>157</v>
      </c>
      <c r="B155" s="20">
        <v>0.52910879999999993</v>
      </c>
      <c r="C155" s="13" t="s">
        <v>567</v>
      </c>
    </row>
    <row r="156" spans="1:3" ht="15.75" customHeight="1">
      <c r="A156" s="13" t="s">
        <v>158</v>
      </c>
      <c r="B156" s="20">
        <v>0.43844166666666667</v>
      </c>
      <c r="C156" s="13" t="s">
        <v>545</v>
      </c>
    </row>
    <row r="157" spans="1:3" ht="15.75" customHeight="1">
      <c r="A157" s="13" t="s">
        <v>159</v>
      </c>
      <c r="B157" s="20">
        <v>0.27502750275027499</v>
      </c>
      <c r="C157" s="13" t="s">
        <v>544</v>
      </c>
    </row>
    <row r="158" spans="1:3" ht="15.75" customHeight="1">
      <c r="A158" s="13" t="s">
        <v>160</v>
      </c>
      <c r="B158" s="20">
        <v>0.27557749999999998</v>
      </c>
      <c r="C158" s="13" t="s">
        <v>568</v>
      </c>
    </row>
    <row r="159" spans="1:3" ht="15.75" customHeight="1">
      <c r="A159" s="13" t="s">
        <v>161</v>
      </c>
      <c r="B159" s="20">
        <v>1.9416</v>
      </c>
      <c r="C159" s="13" t="s">
        <v>545</v>
      </c>
    </row>
    <row r="160" spans="1:3" ht="15.75" customHeight="1">
      <c r="A160" s="13" t="s">
        <v>162</v>
      </c>
      <c r="B160" s="20">
        <v>2.3940333333333328</v>
      </c>
      <c r="C160" s="13" t="s">
        <v>545</v>
      </c>
    </row>
    <row r="161" spans="1:3" ht="15.75" customHeight="1">
      <c r="A161" s="13" t="s">
        <v>163</v>
      </c>
      <c r="B161" s="20">
        <v>1.973347851421307</v>
      </c>
      <c r="C161" s="13" t="s">
        <v>545</v>
      </c>
    </row>
    <row r="162" spans="1:3" ht="15.75" customHeight="1">
      <c r="A162" s="13" t="s">
        <v>164</v>
      </c>
      <c r="B162" s="20"/>
      <c r="C162" s="13"/>
    </row>
    <row r="163" spans="1:3" ht="15.75" customHeight="1">
      <c r="A163" s="13" t="s">
        <v>166</v>
      </c>
      <c r="B163" s="20">
        <v>0.56105610561056107</v>
      </c>
      <c r="C163" s="13" t="s">
        <v>544</v>
      </c>
    </row>
    <row r="164" spans="1:3" ht="15.75" customHeight="1">
      <c r="A164" s="13" t="s">
        <v>167</v>
      </c>
      <c r="B164" s="20">
        <v>2.7122222222222221</v>
      </c>
      <c r="C164" s="13" t="s">
        <v>545</v>
      </c>
    </row>
    <row r="165" spans="1:3" ht="15.75" customHeight="1">
      <c r="A165" s="13" t="s">
        <v>167</v>
      </c>
      <c r="B165" s="20">
        <v>2.585</v>
      </c>
      <c r="C165" s="13" t="s">
        <v>545</v>
      </c>
    </row>
    <row r="166" spans="1:3" ht="15.75" customHeight="1">
      <c r="A166" s="13" t="s">
        <v>168</v>
      </c>
      <c r="B166" s="20">
        <v>0.31494571428571422</v>
      </c>
      <c r="C166" s="13" t="s">
        <v>567</v>
      </c>
    </row>
    <row r="167" spans="1:3" ht="15.75" customHeight="1">
      <c r="A167" s="13" t="s">
        <v>169</v>
      </c>
      <c r="B167" s="20">
        <v>0.16501650165016502</v>
      </c>
      <c r="C167" s="13" t="s">
        <v>544</v>
      </c>
    </row>
    <row r="168" spans="1:3" ht="15.75" customHeight="1">
      <c r="A168" s="13" t="s">
        <v>170</v>
      </c>
      <c r="B168" s="20">
        <v>0.55000000000000004</v>
      </c>
      <c r="C168" s="13" t="s">
        <v>544</v>
      </c>
    </row>
    <row r="169" spans="1:3" ht="15.75" customHeight="1">
      <c r="A169" s="13" t="s">
        <v>171</v>
      </c>
      <c r="B169" s="20">
        <v>5.47</v>
      </c>
      <c r="C169" s="13" t="s">
        <v>547</v>
      </c>
    </row>
    <row r="170" spans="1:3" ht="15.75" customHeight="1">
      <c r="A170" s="13" t="s">
        <v>172</v>
      </c>
      <c r="B170" s="20">
        <v>0.82</v>
      </c>
      <c r="C170" s="13" t="s">
        <v>554</v>
      </c>
    </row>
    <row r="171" spans="1:3" ht="15.75" customHeight="1">
      <c r="A171" s="13" t="s">
        <v>173</v>
      </c>
      <c r="B171" s="20">
        <v>0.31</v>
      </c>
      <c r="C171" s="13" t="s">
        <v>545</v>
      </c>
    </row>
    <row r="172" spans="1:3" ht="15.75" customHeight="1">
      <c r="A172" s="13" t="s">
        <v>174</v>
      </c>
      <c r="B172" s="20">
        <v>0.82</v>
      </c>
      <c r="C172" s="13" t="s">
        <v>545</v>
      </c>
    </row>
    <row r="173" spans="1:3" ht="15.75" customHeight="1">
      <c r="A173" s="13" t="s">
        <v>175</v>
      </c>
      <c r="B173" s="20"/>
      <c r="C173" s="13"/>
    </row>
    <row r="174" spans="1:3" ht="15.75" customHeight="1">
      <c r="A174" s="13" t="s">
        <v>177</v>
      </c>
      <c r="B174" s="20">
        <v>0.20800608818265071</v>
      </c>
      <c r="C174" s="13" t="s">
        <v>545</v>
      </c>
    </row>
    <row r="175" spans="1:3" ht="15.75" customHeight="1">
      <c r="A175" s="13" t="s">
        <v>178</v>
      </c>
      <c r="B175" s="20">
        <v>0.08</v>
      </c>
      <c r="C175" s="13" t="s">
        <v>544</v>
      </c>
    </row>
    <row r="176" spans="1:3" ht="15.75" customHeight="1">
      <c r="A176" s="13" t="s">
        <v>179</v>
      </c>
      <c r="B176" s="20">
        <v>6.24</v>
      </c>
      <c r="C176" s="13" t="s">
        <v>547</v>
      </c>
    </row>
    <row r="177" spans="1:3" ht="15.75" customHeight="1">
      <c r="A177" s="13" t="s">
        <v>180</v>
      </c>
      <c r="B177" s="20">
        <v>4.78</v>
      </c>
      <c r="C177" s="13" t="s">
        <v>547</v>
      </c>
    </row>
    <row r="178" spans="1:3" ht="15.75" customHeight="1">
      <c r="A178" s="13" t="s">
        <v>181</v>
      </c>
      <c r="B178" s="20"/>
      <c r="C178" s="13"/>
    </row>
    <row r="179" spans="1:3" ht="15.75" customHeight="1">
      <c r="A179" s="13" t="s">
        <v>183</v>
      </c>
      <c r="B179" s="20">
        <v>6.24</v>
      </c>
      <c r="C179" s="13" t="s">
        <v>547</v>
      </c>
    </row>
    <row r="180" spans="1:3" ht="15.75" customHeight="1">
      <c r="A180" s="13" t="s">
        <v>184</v>
      </c>
      <c r="B180" s="20">
        <v>6.24</v>
      </c>
      <c r="C180" s="13" t="s">
        <v>547</v>
      </c>
    </row>
    <row r="181" spans="1:3" ht="15.75" customHeight="1">
      <c r="A181" s="13" t="s">
        <v>185</v>
      </c>
      <c r="B181" s="20"/>
      <c r="C181" s="13"/>
    </row>
    <row r="182" spans="1:3" ht="15.75" customHeight="1">
      <c r="A182" s="13" t="s">
        <v>186</v>
      </c>
      <c r="B182" s="20">
        <v>0.93696349999999984</v>
      </c>
      <c r="C182" s="13" t="s">
        <v>569</v>
      </c>
    </row>
    <row r="183" spans="1:3" ht="15.75" customHeight="1">
      <c r="A183" s="13" t="s">
        <v>187</v>
      </c>
      <c r="B183" s="20">
        <v>0.93509350935093505</v>
      </c>
      <c r="C183" s="13" t="s">
        <v>544</v>
      </c>
    </row>
    <row r="184" spans="1:3" ht="15.75" customHeight="1">
      <c r="A184" s="13" t="s">
        <v>188</v>
      </c>
      <c r="B184" s="20">
        <v>0.64708333333333334</v>
      </c>
      <c r="C184" s="13" t="s">
        <v>545</v>
      </c>
    </row>
    <row r="185" spans="1:3" ht="15.75" customHeight="1">
      <c r="A185" s="13" t="s">
        <v>189</v>
      </c>
      <c r="B185" s="20">
        <v>6.24</v>
      </c>
      <c r="C185" s="13" t="s">
        <v>547</v>
      </c>
    </row>
    <row r="186" spans="1:3" ht="15.75" customHeight="1">
      <c r="A186" s="13" t="s">
        <v>190</v>
      </c>
      <c r="B186" s="20">
        <v>3</v>
      </c>
      <c r="C186" s="13" t="s">
        <v>544</v>
      </c>
    </row>
    <row r="187" spans="1:3" ht="15.75" customHeight="1">
      <c r="A187" s="13" t="s">
        <v>191</v>
      </c>
      <c r="B187" s="20">
        <v>0.80167999999999995</v>
      </c>
      <c r="C187" s="13" t="s">
        <v>567</v>
      </c>
    </row>
    <row r="188" spans="1:3" ht="15.75" customHeight="1">
      <c r="A188" s="13" t="s">
        <v>192</v>
      </c>
      <c r="B188" s="20">
        <v>1.2746270816172129</v>
      </c>
      <c r="C188" s="13" t="s">
        <v>545</v>
      </c>
    </row>
    <row r="189" spans="1:3" ht="15.75" customHeight="1">
      <c r="A189" s="13" t="s">
        <v>193</v>
      </c>
      <c r="B189" s="20">
        <v>0.74833333333333329</v>
      </c>
      <c r="C189" s="13" t="s">
        <v>545</v>
      </c>
    </row>
    <row r="190" spans="1:3" ht="15.75" customHeight="1">
      <c r="A190" s="13" t="s">
        <v>194</v>
      </c>
      <c r="B190" s="20">
        <v>1.759981920879667</v>
      </c>
      <c r="C190" s="13" t="s">
        <v>545</v>
      </c>
    </row>
    <row r="191" spans="1:3" ht="15.75" customHeight="1">
      <c r="A191" s="13" t="s">
        <v>195</v>
      </c>
      <c r="B191" s="20">
        <v>0.91217611200169335</v>
      </c>
      <c r="C191" s="13" t="s">
        <v>545</v>
      </c>
    </row>
    <row r="192" spans="1:3" ht="15.75" customHeight="1">
      <c r="A192" s="13" t="s">
        <v>196</v>
      </c>
      <c r="B192" s="20">
        <v>0.46130145139288681</v>
      </c>
      <c r="C192" s="13" t="s">
        <v>545</v>
      </c>
    </row>
    <row r="193" spans="1:3" ht="15.75" customHeight="1">
      <c r="A193" s="13" t="s">
        <v>197</v>
      </c>
      <c r="B193" s="20">
        <v>1.1574255</v>
      </c>
      <c r="C193" s="13" t="s">
        <v>569</v>
      </c>
    </row>
    <row r="194" spans="1:3" ht="15.75" customHeight="1">
      <c r="A194" s="13" t="s">
        <v>198</v>
      </c>
      <c r="B194" s="20">
        <v>2.4250440917107583</v>
      </c>
      <c r="C194" s="13" t="s">
        <v>544</v>
      </c>
    </row>
    <row r="195" spans="1:3" ht="15.75" customHeight="1">
      <c r="A195" s="13" t="s">
        <v>199</v>
      </c>
      <c r="B195" s="20">
        <v>1.069166666666667</v>
      </c>
      <c r="C195" s="13" t="s">
        <v>545</v>
      </c>
    </row>
    <row r="196" spans="1:3" ht="15.75" customHeight="1">
      <c r="A196" s="13" t="s">
        <v>200</v>
      </c>
      <c r="B196" s="20">
        <v>2.4250820000000002</v>
      </c>
      <c r="C196" s="13" t="s">
        <v>562</v>
      </c>
    </row>
    <row r="197" spans="1:3" ht="15.75" customHeight="1">
      <c r="A197" s="13" t="s">
        <v>201</v>
      </c>
      <c r="B197" s="20">
        <v>1.4330058731194555</v>
      </c>
      <c r="C197" s="13" t="s">
        <v>544</v>
      </c>
    </row>
    <row r="198" spans="1:3" ht="15.75" customHeight="1">
      <c r="A198" s="13" t="s">
        <v>202</v>
      </c>
      <c r="B198" s="20">
        <v>1.7374903846153851</v>
      </c>
      <c r="C198" s="13" t="s">
        <v>545</v>
      </c>
    </row>
    <row r="199" spans="1:3" ht="15.75" customHeight="1">
      <c r="A199" s="13" t="s">
        <v>203</v>
      </c>
      <c r="B199" s="20">
        <v>1.7087670998872919</v>
      </c>
      <c r="C199" s="13" t="s">
        <v>545</v>
      </c>
    </row>
    <row r="200" spans="1:3" ht="15.75" customHeight="1">
      <c r="A200" s="13" t="s">
        <v>203</v>
      </c>
      <c r="B200" s="20">
        <v>1.9112499999999999</v>
      </c>
      <c r="C200" s="13" t="s">
        <v>545</v>
      </c>
    </row>
    <row r="201" spans="1:3" ht="15.75" customHeight="1">
      <c r="A201" s="13" t="s">
        <v>204</v>
      </c>
      <c r="B201" s="20">
        <v>1.364577298769607</v>
      </c>
      <c r="C201" s="13" t="s">
        <v>545</v>
      </c>
    </row>
    <row r="202" spans="1:3" ht="15.75" customHeight="1">
      <c r="A202" s="13" t="s">
        <v>204</v>
      </c>
      <c r="B202" s="20">
        <v>1.2285714285714291</v>
      </c>
      <c r="C202" s="13" t="s">
        <v>545</v>
      </c>
    </row>
    <row r="203" spans="1:3" ht="15.75" customHeight="1">
      <c r="A203" s="13" t="s">
        <v>205</v>
      </c>
      <c r="B203" s="20">
        <v>1.1574255</v>
      </c>
      <c r="C203" s="13" t="s">
        <v>562</v>
      </c>
    </row>
    <row r="204" spans="1:3" ht="15.75" customHeight="1">
      <c r="A204" s="13" t="s">
        <v>206</v>
      </c>
      <c r="B204" s="20">
        <v>1.1551155115511551</v>
      </c>
      <c r="C204" s="13" t="s">
        <v>544</v>
      </c>
    </row>
    <row r="205" spans="1:3" ht="15.75" customHeight="1">
      <c r="A205" s="13" t="s">
        <v>207</v>
      </c>
      <c r="B205" s="20">
        <v>2.4250440917107583</v>
      </c>
      <c r="C205" s="13" t="s">
        <v>544</v>
      </c>
    </row>
    <row r="206" spans="1:3" ht="15.75" customHeight="1">
      <c r="A206" s="13" t="s">
        <v>208</v>
      </c>
      <c r="B206" s="20">
        <v>0.55333333333333334</v>
      </c>
      <c r="C206" s="13" t="s">
        <v>545</v>
      </c>
    </row>
    <row r="207" spans="1:3" ht="15.75" customHeight="1">
      <c r="A207" s="13" t="s">
        <v>209</v>
      </c>
      <c r="B207" s="20">
        <v>1.0038524582413471</v>
      </c>
      <c r="C207" s="13" t="s">
        <v>545</v>
      </c>
    </row>
    <row r="208" spans="1:3" ht="15.75" customHeight="1">
      <c r="A208" s="13" t="s">
        <v>210</v>
      </c>
      <c r="B208" s="20">
        <v>0.6544614167578453</v>
      </c>
      <c r="C208" s="13" t="s">
        <v>545</v>
      </c>
    </row>
    <row r="209" spans="1:3" ht="15.75" customHeight="1">
      <c r="A209" s="13" t="s">
        <v>211</v>
      </c>
      <c r="B209" s="20">
        <v>0.47607109788359792</v>
      </c>
      <c r="C209" s="13" t="s">
        <v>545</v>
      </c>
    </row>
    <row r="210" spans="1:3" ht="15.75" customHeight="1">
      <c r="A210" s="13" t="s">
        <v>212</v>
      </c>
      <c r="B210" s="20">
        <v>1.794572107676274</v>
      </c>
      <c r="C210" s="13" t="s">
        <v>545</v>
      </c>
    </row>
    <row r="211" spans="1:3" ht="15.75" customHeight="1">
      <c r="A211" s="13" t="s">
        <v>212</v>
      </c>
      <c r="B211" s="20">
        <v>1.1421640679492451</v>
      </c>
      <c r="C211" s="13" t="s">
        <v>545</v>
      </c>
    </row>
    <row r="212" spans="1:3" ht="15.75" customHeight="1">
      <c r="A212" s="13" t="s">
        <v>213</v>
      </c>
      <c r="B212" s="20">
        <v>1.7636959999999999</v>
      </c>
      <c r="C212" s="13" t="s">
        <v>557</v>
      </c>
    </row>
    <row r="213" spans="1:3" ht="15.75" customHeight="1">
      <c r="A213" s="13" t="s">
        <v>214</v>
      </c>
      <c r="B213" s="20">
        <v>2.7557805252297221</v>
      </c>
      <c r="C213" s="13" t="s">
        <v>544</v>
      </c>
    </row>
    <row r="214" spans="1:3" ht="15.75" customHeight="1">
      <c r="A214" s="13" t="s">
        <v>215</v>
      </c>
      <c r="B214" s="20">
        <v>1.8595999999999999</v>
      </c>
      <c r="C214" s="13" t="s">
        <v>564</v>
      </c>
    </row>
    <row r="215" spans="1:3" ht="15.75" customHeight="1">
      <c r="A215" s="13" t="s">
        <v>216</v>
      </c>
      <c r="B215" s="20">
        <v>1.8595999999999999</v>
      </c>
      <c r="C215" s="13" t="s">
        <v>564</v>
      </c>
    </row>
    <row r="216" spans="1:3" ht="15.75" customHeight="1">
      <c r="A216" s="13" t="s">
        <v>217</v>
      </c>
      <c r="B216" s="20">
        <v>1.8595999999999999</v>
      </c>
      <c r="C216" s="13" t="s">
        <v>564</v>
      </c>
    </row>
    <row r="217" spans="1:3" ht="15.75" customHeight="1">
      <c r="A217" s="13" t="s">
        <v>218</v>
      </c>
      <c r="B217" s="20">
        <v>6.58</v>
      </c>
      <c r="C217" s="13" t="s">
        <v>547</v>
      </c>
    </row>
    <row r="218" spans="1:3" ht="15.75" customHeight="1">
      <c r="A218" s="13" t="s">
        <v>219</v>
      </c>
      <c r="B218" s="20">
        <v>6.24</v>
      </c>
      <c r="C218" s="13" t="s">
        <v>547</v>
      </c>
    </row>
    <row r="219" spans="1:3" ht="15.75" customHeight="1">
      <c r="A219" s="13" t="s">
        <v>220</v>
      </c>
      <c r="B219" s="20">
        <v>6.24</v>
      </c>
      <c r="C219" s="13" t="s">
        <v>547</v>
      </c>
    </row>
    <row r="220" spans="1:3" ht="15.75" customHeight="1">
      <c r="A220" s="13" t="s">
        <v>221</v>
      </c>
      <c r="B220" s="20"/>
      <c r="C220" s="13"/>
    </row>
    <row r="221" spans="1:3" ht="15.75" customHeight="1">
      <c r="A221" s="13" t="s">
        <v>222</v>
      </c>
      <c r="B221" s="20">
        <v>1.3661402740777751</v>
      </c>
      <c r="C221" s="13" t="s">
        <v>545</v>
      </c>
    </row>
    <row r="222" spans="1:3" ht="15.75" customHeight="1">
      <c r="A222" s="13" t="s">
        <v>223</v>
      </c>
      <c r="B222" s="20">
        <v>1</v>
      </c>
      <c r="C222" s="13" t="s">
        <v>570</v>
      </c>
    </row>
    <row r="223" spans="1:3" ht="15.75" customHeight="1">
      <c r="A223" s="13" t="s">
        <v>224</v>
      </c>
      <c r="B223" s="20">
        <v>0.31428571428571428</v>
      </c>
      <c r="C223" s="13" t="s">
        <v>544</v>
      </c>
    </row>
    <row r="224" spans="1:3" ht="15.75" customHeight="1">
      <c r="A224" s="13" t="s">
        <v>224</v>
      </c>
      <c r="B224" s="20">
        <v>1.7</v>
      </c>
      <c r="C224" s="13" t="s">
        <v>544</v>
      </c>
    </row>
    <row r="225" spans="1:3" ht="15.75" customHeight="1">
      <c r="A225" s="13" t="s">
        <v>225</v>
      </c>
      <c r="B225" s="20">
        <v>0.1</v>
      </c>
      <c r="C225" s="13" t="s">
        <v>544</v>
      </c>
    </row>
    <row r="226" spans="1:3" ht="15.75" customHeight="1">
      <c r="A226" s="13" t="s">
        <v>226</v>
      </c>
      <c r="B226" s="20">
        <v>6.65</v>
      </c>
      <c r="C226" s="13" t="s">
        <v>547</v>
      </c>
    </row>
    <row r="227" spans="1:3" ht="15.75" customHeight="1">
      <c r="A227" s="13" t="s">
        <v>227</v>
      </c>
      <c r="B227" s="20">
        <v>1.7741352258852261</v>
      </c>
      <c r="C227" s="13" t="s">
        <v>545</v>
      </c>
    </row>
    <row r="228" spans="1:3" ht="15.75" customHeight="1">
      <c r="A228" s="13" t="s">
        <v>228</v>
      </c>
      <c r="B228" s="20">
        <v>1.7741</v>
      </c>
      <c r="C228" s="13" t="s">
        <v>554</v>
      </c>
    </row>
    <row r="229" spans="1:3" ht="15.75" customHeight="1">
      <c r="A229" s="13" t="s">
        <v>229</v>
      </c>
      <c r="B229" s="20">
        <v>2.4250440917107583</v>
      </c>
      <c r="C229" s="13" t="s">
        <v>544</v>
      </c>
    </row>
    <row r="230" spans="1:3" ht="15.75" customHeight="1">
      <c r="A230" s="13" t="s">
        <v>230</v>
      </c>
      <c r="B230" s="20">
        <v>1.1574255</v>
      </c>
      <c r="C230" s="13" t="s">
        <v>571</v>
      </c>
    </row>
    <row r="231" spans="1:3" ht="15.75" customHeight="1">
      <c r="A231" s="13" t="s">
        <v>231</v>
      </c>
      <c r="B231" s="20">
        <v>3.8029771248170166</v>
      </c>
      <c r="C231" s="13" t="s">
        <v>544</v>
      </c>
    </row>
    <row r="232" spans="1:3" ht="15.75" customHeight="1">
      <c r="A232" s="13" t="s">
        <v>232</v>
      </c>
      <c r="B232" s="20">
        <v>1.1243562</v>
      </c>
      <c r="C232" s="13" t="s">
        <v>572</v>
      </c>
    </row>
    <row r="233" spans="1:3" ht="15.75" customHeight="1">
      <c r="A233" s="13" t="s">
        <v>233</v>
      </c>
      <c r="B233" s="20">
        <v>1.1221122112211221</v>
      </c>
      <c r="C233" s="13" t="s">
        <v>544</v>
      </c>
    </row>
    <row r="234" spans="1:3" ht="15.75" customHeight="1">
      <c r="A234" s="13" t="s">
        <v>234</v>
      </c>
      <c r="B234" s="20">
        <v>2.4250440917107583</v>
      </c>
      <c r="C234" s="13" t="s">
        <v>544</v>
      </c>
    </row>
    <row r="235" spans="1:3" ht="15.75" customHeight="1">
      <c r="A235" s="13" t="s">
        <v>235</v>
      </c>
      <c r="B235" s="20">
        <v>0.35027817477961992</v>
      </c>
      <c r="C235" s="13" t="s">
        <v>545</v>
      </c>
    </row>
    <row r="236" spans="1:3" ht="15.75" customHeight="1">
      <c r="A236" s="13" t="s">
        <v>235</v>
      </c>
      <c r="B236" s="20">
        <v>0.28554497153700192</v>
      </c>
      <c r="C236" s="13" t="s">
        <v>545</v>
      </c>
    </row>
    <row r="237" spans="1:3" ht="15.75" customHeight="1">
      <c r="A237" s="13" t="s">
        <v>236</v>
      </c>
      <c r="B237" s="20">
        <v>0.94</v>
      </c>
      <c r="C237" s="13" t="s">
        <v>545</v>
      </c>
    </row>
    <row r="238" spans="1:3" ht="15.75" customHeight="1">
      <c r="A238" s="13" t="s">
        <v>237</v>
      </c>
      <c r="B238" s="20">
        <v>1.34</v>
      </c>
      <c r="C238" s="13" t="s">
        <v>545</v>
      </c>
    </row>
    <row r="239" spans="1:3" ht="15.75" customHeight="1">
      <c r="A239" s="13" t="s">
        <v>238</v>
      </c>
      <c r="B239" s="20">
        <v>1.6733333333333329</v>
      </c>
      <c r="C239" s="13" t="s">
        <v>545</v>
      </c>
    </row>
    <row r="240" spans="1:3" ht="15.75" customHeight="1">
      <c r="A240" s="13" t="s">
        <v>239</v>
      </c>
      <c r="B240" s="20">
        <v>0.81727272727272726</v>
      </c>
      <c r="C240" s="13" t="s">
        <v>545</v>
      </c>
    </row>
    <row r="241" spans="1:3" ht="15.75" customHeight="1">
      <c r="A241" s="13" t="s">
        <v>240</v>
      </c>
      <c r="B241" s="20">
        <v>0.84150000000000003</v>
      </c>
      <c r="C241" s="13" t="s">
        <v>545</v>
      </c>
    </row>
    <row r="242" spans="1:3" ht="15.75" customHeight="1">
      <c r="A242" s="13" t="s">
        <v>241</v>
      </c>
      <c r="B242" s="20">
        <v>6.24</v>
      </c>
      <c r="C242" s="13" t="s">
        <v>547</v>
      </c>
    </row>
    <row r="243" spans="1:3" ht="15.75" customHeight="1">
      <c r="A243" s="13" t="s">
        <v>242</v>
      </c>
      <c r="B243" s="20"/>
      <c r="C243" s="13"/>
    </row>
    <row r="244" spans="1:3" ht="15.75" customHeight="1">
      <c r="A244" s="13" t="s">
        <v>244</v>
      </c>
      <c r="B244" s="20">
        <v>0.8</v>
      </c>
      <c r="C244" s="13" t="s">
        <v>573</v>
      </c>
    </row>
    <row r="245" spans="1:3" ht="15.75" customHeight="1">
      <c r="A245" s="13" t="s">
        <v>245</v>
      </c>
      <c r="B245" s="20"/>
      <c r="C245" s="13"/>
    </row>
    <row r="246" spans="1:3" ht="15.75" customHeight="1">
      <c r="A246" s="13" t="s">
        <v>247</v>
      </c>
      <c r="B246" s="20"/>
      <c r="C246" s="13"/>
    </row>
    <row r="247" spans="1:3" ht="15.75" customHeight="1">
      <c r="A247" s="13" t="s">
        <v>249</v>
      </c>
      <c r="B247" s="20"/>
      <c r="C247" s="13" t="s">
        <v>545</v>
      </c>
    </row>
    <row r="248" spans="1:3" ht="15.75" customHeight="1">
      <c r="A248" s="13" t="s">
        <v>251</v>
      </c>
      <c r="B248" s="20"/>
      <c r="C248" s="13" t="s">
        <v>545</v>
      </c>
    </row>
    <row r="249" spans="1:3" ht="15.75" customHeight="1">
      <c r="A249" s="13" t="s">
        <v>251</v>
      </c>
      <c r="B249" s="20"/>
      <c r="C249" s="13" t="s">
        <v>545</v>
      </c>
    </row>
    <row r="250" spans="1:3" ht="15.75" customHeight="1">
      <c r="A250" s="13" t="s">
        <v>253</v>
      </c>
      <c r="B250" s="20"/>
      <c r="C250" s="13" t="s">
        <v>545</v>
      </c>
    </row>
    <row r="251" spans="1:3" ht="15.75" customHeight="1">
      <c r="A251" s="13" t="s">
        <v>254</v>
      </c>
      <c r="B251" s="20">
        <v>0.10151</v>
      </c>
      <c r="C251" s="13" t="s">
        <v>569</v>
      </c>
    </row>
    <row r="252" spans="1:3" ht="15.75" customHeight="1">
      <c r="A252" s="13" t="s">
        <v>255</v>
      </c>
      <c r="B252" s="20">
        <v>9.7706666666666664E-2</v>
      </c>
      <c r="C252" s="13" t="s">
        <v>569</v>
      </c>
    </row>
    <row r="253" spans="1:3" ht="15.75" customHeight="1">
      <c r="A253" s="13" t="s">
        <v>256</v>
      </c>
      <c r="B253" s="20">
        <v>9.2989999999999989E-2</v>
      </c>
      <c r="C253" s="13" t="s">
        <v>569</v>
      </c>
    </row>
    <row r="254" spans="1:3" ht="15.75" customHeight="1">
      <c r="A254" s="13" t="s">
        <v>257</v>
      </c>
      <c r="B254" s="20">
        <v>6.24</v>
      </c>
      <c r="C254" s="13" t="s">
        <v>547</v>
      </c>
    </row>
    <row r="255" spans="1:3" ht="15.75" customHeight="1">
      <c r="A255" s="13" t="s">
        <v>258</v>
      </c>
      <c r="B255" s="20">
        <v>6.23</v>
      </c>
      <c r="C255" s="13" t="s">
        <v>547</v>
      </c>
    </row>
    <row r="256" spans="1:3" ht="15.75" customHeight="1">
      <c r="A256" s="13" t="s">
        <v>259</v>
      </c>
      <c r="B256" s="20">
        <v>1.6534649999999997</v>
      </c>
      <c r="C256" s="13" t="s">
        <v>571</v>
      </c>
    </row>
    <row r="257" spans="1:3" ht="15.75" customHeight="1">
      <c r="A257" s="13" t="s">
        <v>260</v>
      </c>
      <c r="B257" s="20">
        <v>20</v>
      </c>
      <c r="C257" s="13" t="s">
        <v>574</v>
      </c>
    </row>
    <row r="258" spans="1:3" ht="15.75" customHeight="1">
      <c r="A258" s="13" t="s">
        <v>261</v>
      </c>
      <c r="B258" s="20">
        <v>0.66138599999999992</v>
      </c>
      <c r="C258" s="13" t="s">
        <v>575</v>
      </c>
    </row>
    <row r="259" spans="1:3" ht="15.75" customHeight="1">
      <c r="A259" s="13" t="s">
        <v>262</v>
      </c>
      <c r="B259" s="20"/>
      <c r="C259" s="13" t="s">
        <v>571</v>
      </c>
    </row>
    <row r="260" spans="1:3" ht="15.75" customHeight="1">
      <c r="A260" s="13" t="s">
        <v>264</v>
      </c>
      <c r="B260" s="20">
        <v>0.44130000000000003</v>
      </c>
      <c r="C260" s="13" t="s">
        <v>564</v>
      </c>
    </row>
    <row r="261" spans="1:3" ht="15.75" customHeight="1">
      <c r="A261" s="13" t="s">
        <v>265</v>
      </c>
      <c r="B261" s="20"/>
      <c r="C261" s="13" t="s">
        <v>545</v>
      </c>
    </row>
    <row r="262" spans="1:3" ht="15.75" customHeight="1">
      <c r="A262" s="13" t="s">
        <v>265</v>
      </c>
      <c r="B262" s="20"/>
      <c r="C262" s="13" t="s">
        <v>545</v>
      </c>
    </row>
    <row r="263" spans="1:3" ht="15.75" customHeight="1">
      <c r="A263" s="13" t="s">
        <v>265</v>
      </c>
      <c r="B263" s="20"/>
      <c r="C263" s="13" t="s">
        <v>545</v>
      </c>
    </row>
    <row r="264" spans="1:3" ht="15.75" customHeight="1">
      <c r="A264" s="13" t="s">
        <v>267</v>
      </c>
      <c r="B264" s="20"/>
      <c r="C264" s="13" t="s">
        <v>545</v>
      </c>
    </row>
    <row r="265" spans="1:3" ht="15.75" customHeight="1">
      <c r="A265" s="13" t="s">
        <v>269</v>
      </c>
      <c r="B265" s="20"/>
      <c r="C265" s="13" t="s">
        <v>545</v>
      </c>
    </row>
    <row r="266" spans="1:3" ht="15.75" customHeight="1">
      <c r="A266" s="13" t="s">
        <v>271</v>
      </c>
      <c r="B266" s="20">
        <v>0.505</v>
      </c>
      <c r="C266" s="13" t="s">
        <v>545</v>
      </c>
    </row>
    <row r="267" spans="1:3" ht="15.75" customHeight="1">
      <c r="A267" s="13" t="s">
        <v>272</v>
      </c>
      <c r="B267" s="20">
        <v>0.23803763728220251</v>
      </c>
      <c r="C267" s="13" t="s">
        <v>545</v>
      </c>
    </row>
    <row r="268" spans="1:3" ht="15.75" customHeight="1">
      <c r="A268" s="13" t="s">
        <v>273</v>
      </c>
      <c r="B268" s="20">
        <v>1.770257526564345</v>
      </c>
      <c r="C268" s="13" t="s">
        <v>545</v>
      </c>
    </row>
    <row r="269" spans="1:3" ht="15.75" customHeight="1">
      <c r="A269" s="13" t="s">
        <v>274</v>
      </c>
      <c r="B269" s="20">
        <v>1.7795692639999998</v>
      </c>
      <c r="C269" s="13" t="s">
        <v>553</v>
      </c>
    </row>
    <row r="270" spans="1:3" ht="15.75" customHeight="1">
      <c r="A270" s="13" t="s">
        <v>275</v>
      </c>
      <c r="B270" s="20">
        <v>5.65</v>
      </c>
      <c r="C270" s="13" t="s">
        <v>547</v>
      </c>
    </row>
    <row r="271" spans="1:3" ht="15.75" customHeight="1">
      <c r="A271" s="13" t="s">
        <v>276</v>
      </c>
      <c r="B271" s="22" t="s">
        <v>576</v>
      </c>
      <c r="C271" s="10" t="s">
        <v>277</v>
      </c>
    </row>
    <row r="272" spans="1:3" ht="15.75" customHeight="1">
      <c r="A272" s="13" t="s">
        <v>278</v>
      </c>
      <c r="B272" s="20">
        <v>2.2486772486772488</v>
      </c>
      <c r="C272" s="13" t="s">
        <v>544</v>
      </c>
    </row>
    <row r="273" spans="1:3" ht="15.75" customHeight="1">
      <c r="A273" s="13" t="s">
        <v>279</v>
      </c>
      <c r="B273" s="20">
        <v>0.69024130472886103</v>
      </c>
      <c r="C273" s="13" t="s">
        <v>545</v>
      </c>
    </row>
    <row r="274" spans="1:3" ht="15.75" customHeight="1">
      <c r="A274" s="13" t="s">
        <v>280</v>
      </c>
      <c r="B274" s="20">
        <v>0.77700000000000002</v>
      </c>
      <c r="C274" s="13" t="s">
        <v>577</v>
      </c>
    </row>
    <row r="275" spans="1:3" ht="15.75" customHeight="1">
      <c r="A275" s="13" t="s">
        <v>281</v>
      </c>
      <c r="B275" s="20">
        <v>0.77700000000000002</v>
      </c>
      <c r="C275" s="13" t="s">
        <v>554</v>
      </c>
    </row>
    <row r="276" spans="1:3" ht="15.75" customHeight="1">
      <c r="A276" s="13" t="s">
        <v>282</v>
      </c>
      <c r="B276" s="20">
        <v>0.79675388635284483</v>
      </c>
      <c r="C276" s="13" t="s">
        <v>545</v>
      </c>
    </row>
    <row r="277" spans="1:3" ht="15.75" customHeight="1">
      <c r="A277" s="13" t="s">
        <v>283</v>
      </c>
      <c r="B277" s="20">
        <v>6.24</v>
      </c>
      <c r="C277" s="13" t="s">
        <v>547</v>
      </c>
    </row>
    <row r="278" spans="1:3" ht="15.75" customHeight="1">
      <c r="A278" s="13" t="s">
        <v>284</v>
      </c>
      <c r="B278" s="20">
        <v>4.4092399999999996</v>
      </c>
      <c r="C278" s="13" t="s">
        <v>578</v>
      </c>
    </row>
    <row r="279" spans="1:3" ht="15.75" customHeight="1">
      <c r="A279" s="13" t="s">
        <v>285</v>
      </c>
      <c r="B279" s="20">
        <v>6.24</v>
      </c>
      <c r="C279" s="13" t="s">
        <v>547</v>
      </c>
    </row>
    <row r="280" spans="1:3" ht="15.75" customHeight="1">
      <c r="A280" s="13" t="s">
        <v>286</v>
      </c>
      <c r="B280" s="20">
        <v>6.24</v>
      </c>
      <c r="C280" s="13" t="s">
        <v>547</v>
      </c>
    </row>
    <row r="281" spans="1:3" ht="15.75" customHeight="1">
      <c r="A281" s="13" t="s">
        <v>287</v>
      </c>
      <c r="B281" s="22" t="s">
        <v>288</v>
      </c>
      <c r="C281" s="11" t="s">
        <v>289</v>
      </c>
    </row>
    <row r="282" spans="1:3" ht="15.75" customHeight="1">
      <c r="A282" s="13" t="s">
        <v>290</v>
      </c>
      <c r="B282" s="20">
        <v>0.29924129188311682</v>
      </c>
      <c r="C282" s="13" t="s">
        <v>545</v>
      </c>
    </row>
    <row r="283" spans="1:3" ht="15.75" customHeight="1">
      <c r="A283" s="13" t="s">
        <v>291</v>
      </c>
      <c r="B283" s="20">
        <v>0.35</v>
      </c>
      <c r="C283" s="13" t="s">
        <v>545</v>
      </c>
    </row>
    <row r="284" spans="1:3" ht="15.75" customHeight="1">
      <c r="A284" s="13" t="s">
        <v>292</v>
      </c>
      <c r="B284" s="20">
        <v>0.32765127725563908</v>
      </c>
      <c r="C284" s="13" t="s">
        <v>545</v>
      </c>
    </row>
    <row r="285" spans="1:3" ht="15.75" customHeight="1">
      <c r="A285" s="13" t="s">
        <v>293</v>
      </c>
      <c r="B285" s="20">
        <v>0.48640624999999998</v>
      </c>
      <c r="C285" s="13" t="s">
        <v>545</v>
      </c>
    </row>
    <row r="286" spans="1:3" ht="15.75" customHeight="1">
      <c r="A286" s="13" t="s">
        <v>293</v>
      </c>
      <c r="B286" s="20">
        <v>0.45621500305250301</v>
      </c>
      <c r="C286" s="13" t="s">
        <v>545</v>
      </c>
    </row>
    <row r="287" spans="1:3" ht="15.75" customHeight="1">
      <c r="A287" s="13" t="s">
        <v>294</v>
      </c>
      <c r="B287" s="20">
        <v>0.39280759250113179</v>
      </c>
      <c r="C287" s="13" t="s">
        <v>545</v>
      </c>
    </row>
    <row r="288" spans="1:3" ht="15.75" customHeight="1">
      <c r="A288" s="13" t="s">
        <v>295</v>
      </c>
      <c r="B288" s="20">
        <v>0.28512367724867732</v>
      </c>
      <c r="C288" s="13" t="s">
        <v>545</v>
      </c>
    </row>
    <row r="289" spans="1:3" ht="15.75" customHeight="1">
      <c r="A289" s="13" t="s">
        <v>296</v>
      </c>
      <c r="B289" s="20">
        <v>1.3448181999999997</v>
      </c>
      <c r="C289" s="13" t="s">
        <v>571</v>
      </c>
    </row>
    <row r="290" spans="1:3" ht="15.75" customHeight="1">
      <c r="A290" s="13" t="s">
        <v>297</v>
      </c>
      <c r="B290" s="20">
        <v>28.51</v>
      </c>
      <c r="C290" s="13" t="s">
        <v>552</v>
      </c>
    </row>
    <row r="291" spans="1:3" ht="15.75" customHeight="1">
      <c r="A291" s="13" t="s">
        <v>298</v>
      </c>
      <c r="B291" s="20">
        <v>0.72607260726072598</v>
      </c>
      <c r="C291" s="13" t="s">
        <v>544</v>
      </c>
    </row>
    <row r="292" spans="1:3" ht="15.75" customHeight="1">
      <c r="A292" s="13" t="s">
        <v>299</v>
      </c>
      <c r="B292" s="20">
        <v>0.41207243385120401</v>
      </c>
      <c r="C292" s="13" t="s">
        <v>545</v>
      </c>
    </row>
    <row r="293" spans="1:3" ht="15.75" customHeight="1">
      <c r="A293" s="13" t="s">
        <v>300</v>
      </c>
      <c r="B293" s="20">
        <v>1.3448181999999997</v>
      </c>
      <c r="C293" s="13" t="s">
        <v>571</v>
      </c>
    </row>
    <row r="294" spans="1:3" ht="15.75" customHeight="1">
      <c r="A294" s="13" t="s">
        <v>301</v>
      </c>
      <c r="B294" s="20">
        <v>0.41248440199999997</v>
      </c>
      <c r="C294" s="13" t="s">
        <v>557</v>
      </c>
    </row>
    <row r="295" spans="1:3" ht="15.75" customHeight="1">
      <c r="A295" s="13" t="s">
        <v>302</v>
      </c>
      <c r="B295" s="20">
        <v>1.7196035999999999</v>
      </c>
      <c r="C295" s="13" t="s">
        <v>571</v>
      </c>
    </row>
    <row r="296" spans="1:3" ht="15.75" customHeight="1">
      <c r="A296" s="13" t="s">
        <v>303</v>
      </c>
      <c r="B296" s="20">
        <v>1.3421342134213421</v>
      </c>
      <c r="C296" s="13" t="s">
        <v>544</v>
      </c>
    </row>
    <row r="297" spans="1:3" ht="15.75" customHeight="1">
      <c r="A297" s="13" t="s">
        <v>304</v>
      </c>
      <c r="B297" s="20">
        <v>1.6941694169416941</v>
      </c>
      <c r="C297" s="13" t="s">
        <v>544</v>
      </c>
    </row>
    <row r="298" spans="1:3" ht="15.75" customHeight="1">
      <c r="A298" s="13" t="s">
        <v>305</v>
      </c>
      <c r="B298" s="22" t="s">
        <v>579</v>
      </c>
      <c r="C298" s="10" t="s">
        <v>306</v>
      </c>
    </row>
    <row r="299" spans="1:3" ht="15.75" customHeight="1">
      <c r="A299" s="13" t="s">
        <v>307</v>
      </c>
      <c r="B299" s="20">
        <v>0.4822323953147124</v>
      </c>
      <c r="C299" s="13" t="s">
        <v>545</v>
      </c>
    </row>
    <row r="300" spans="1:3" ht="15.75" customHeight="1">
      <c r="A300" s="13" t="s">
        <v>307</v>
      </c>
      <c r="B300" s="20">
        <v>0.40371345376034351</v>
      </c>
      <c r="C300" s="13" t="s">
        <v>545</v>
      </c>
    </row>
    <row r="301" spans="1:3" ht="15.75" customHeight="1">
      <c r="A301" s="13" t="s">
        <v>308</v>
      </c>
      <c r="B301" s="20">
        <v>1.3227719999999998</v>
      </c>
      <c r="C301" s="13" t="s">
        <v>571</v>
      </c>
    </row>
    <row r="302" spans="1:3" ht="15.75" customHeight="1">
      <c r="A302" s="13" t="s">
        <v>309</v>
      </c>
      <c r="B302" s="20">
        <v>0.42689459999999996</v>
      </c>
      <c r="C302" s="13" t="s">
        <v>557</v>
      </c>
    </row>
    <row r="303" spans="1:3" ht="15.75" customHeight="1">
      <c r="A303" s="13" t="s">
        <v>310</v>
      </c>
      <c r="B303" s="20">
        <v>1.3227746521102666</v>
      </c>
      <c r="C303" s="13" t="s">
        <v>544</v>
      </c>
    </row>
    <row r="304" spans="1:3" ht="15.75" customHeight="1">
      <c r="A304" s="13" t="s">
        <v>311</v>
      </c>
      <c r="B304" s="20">
        <v>1.530336712549603</v>
      </c>
      <c r="C304" s="13" t="s">
        <v>545</v>
      </c>
    </row>
    <row r="305" spans="1:3" ht="15.75" customHeight="1">
      <c r="A305" s="13" t="s">
        <v>311</v>
      </c>
      <c r="B305" s="20">
        <v>1.25125</v>
      </c>
      <c r="C305" s="13" t="s">
        <v>545</v>
      </c>
    </row>
    <row r="306" spans="1:3" ht="15.75" customHeight="1">
      <c r="A306" s="13" t="s">
        <v>312</v>
      </c>
      <c r="B306" s="20">
        <v>5.72</v>
      </c>
      <c r="C306" s="13" t="s">
        <v>545</v>
      </c>
    </row>
    <row r="307" spans="1:3" ht="15.75" customHeight="1">
      <c r="A307" s="13" t="s">
        <v>313</v>
      </c>
      <c r="B307" s="20">
        <v>3.3069299999999995</v>
      </c>
      <c r="C307" s="13" t="s">
        <v>571</v>
      </c>
    </row>
    <row r="308" spans="1:3" ht="15.75" customHeight="1">
      <c r="A308" s="13" t="s">
        <v>314</v>
      </c>
      <c r="B308" s="20">
        <v>1.5055000000000001</v>
      </c>
      <c r="C308" s="13" t="s">
        <v>554</v>
      </c>
    </row>
    <row r="309" spans="1:3" ht="15.75" customHeight="1">
      <c r="A309" s="13" t="s">
        <v>315</v>
      </c>
      <c r="B309" s="20">
        <v>1.1243562</v>
      </c>
      <c r="C309" s="13" t="s">
        <v>571</v>
      </c>
    </row>
    <row r="310" spans="1:3" ht="15.75" customHeight="1">
      <c r="A310" s="13" t="s">
        <v>316</v>
      </c>
      <c r="B310" s="20">
        <v>1.6537876978486741</v>
      </c>
      <c r="C310" s="13" t="s">
        <v>545</v>
      </c>
    </row>
    <row r="311" spans="1:3" ht="15.75" customHeight="1">
      <c r="A311" s="13" t="s">
        <v>317</v>
      </c>
      <c r="B311" s="20">
        <v>3.3069366302756662</v>
      </c>
      <c r="C311" s="13" t="s">
        <v>544</v>
      </c>
    </row>
    <row r="312" spans="1:3" ht="15.75" customHeight="1">
      <c r="A312" s="13" t="s">
        <v>318</v>
      </c>
      <c r="B312" s="20">
        <v>1.377890262614861</v>
      </c>
      <c r="C312" s="13" t="s">
        <v>544</v>
      </c>
    </row>
    <row r="313" spans="1:3" ht="15.75" customHeight="1">
      <c r="A313" s="13" t="s">
        <v>319</v>
      </c>
      <c r="B313" s="20">
        <v>1.0471944999999998</v>
      </c>
      <c r="C313" s="13" t="s">
        <v>580</v>
      </c>
    </row>
    <row r="314" spans="1:3" ht="15.75" customHeight="1">
      <c r="A314" s="13" t="s">
        <v>320</v>
      </c>
      <c r="B314" s="22" t="s">
        <v>321</v>
      </c>
      <c r="C314" s="10" t="s">
        <v>322</v>
      </c>
    </row>
    <row r="315" spans="1:3" ht="15.75" customHeight="1">
      <c r="A315" s="13" t="s">
        <v>323</v>
      </c>
      <c r="B315" s="20">
        <v>0.57205720572057206</v>
      </c>
      <c r="C315" s="13" t="s">
        <v>544</v>
      </c>
    </row>
    <row r="316" spans="1:3" ht="15.75" customHeight="1">
      <c r="A316" s="13" t="s">
        <v>324</v>
      </c>
      <c r="B316" s="20">
        <v>0.53790000000000004</v>
      </c>
      <c r="C316" s="13" t="s">
        <v>554</v>
      </c>
    </row>
    <row r="317" spans="1:3" ht="15.75" customHeight="1">
      <c r="A317" s="13" t="s">
        <v>325</v>
      </c>
      <c r="B317" s="20">
        <v>0.73870000000000002</v>
      </c>
      <c r="C317" s="13" t="s">
        <v>554</v>
      </c>
    </row>
    <row r="318" spans="1:3" ht="15.75" customHeight="1">
      <c r="A318" s="13" t="s">
        <v>326</v>
      </c>
      <c r="B318" s="20">
        <v>0.53847964033602325</v>
      </c>
      <c r="C318" s="13" t="s">
        <v>545</v>
      </c>
    </row>
    <row r="319" spans="1:3" ht="15.75" customHeight="1">
      <c r="A319" s="13" t="s">
        <v>327</v>
      </c>
      <c r="B319" s="20">
        <v>0.74332827749173913</v>
      </c>
      <c r="C319" s="13" t="s">
        <v>545</v>
      </c>
    </row>
    <row r="320" spans="1:3" ht="15.75" customHeight="1">
      <c r="A320" s="13" t="s">
        <v>328</v>
      </c>
      <c r="B320" s="20">
        <v>3</v>
      </c>
      <c r="C320" s="13" t="s">
        <v>544</v>
      </c>
    </row>
    <row r="321" spans="1:3" ht="15.75" customHeight="1">
      <c r="A321" s="13" t="s">
        <v>329</v>
      </c>
      <c r="B321" s="20">
        <v>0.64534848484848484</v>
      </c>
      <c r="C321" s="13" t="s">
        <v>545</v>
      </c>
    </row>
    <row r="322" spans="1:3" ht="15.75" customHeight="1">
      <c r="A322" s="13" t="s">
        <v>330</v>
      </c>
      <c r="B322" s="20">
        <v>1.1221122112211221</v>
      </c>
      <c r="C322" s="13" t="s">
        <v>544</v>
      </c>
    </row>
    <row r="323" spans="1:3" ht="15.75" customHeight="1">
      <c r="A323" s="13" t="s">
        <v>331</v>
      </c>
      <c r="B323" s="20">
        <v>1.925</v>
      </c>
      <c r="C323" s="13" t="s">
        <v>553</v>
      </c>
    </row>
    <row r="324" spans="1:3" ht="15.75" customHeight="1">
      <c r="A324" s="13" t="s">
        <v>332</v>
      </c>
      <c r="B324" s="20">
        <v>1.9054127297822949</v>
      </c>
      <c r="C324" s="13" t="s">
        <v>545</v>
      </c>
    </row>
    <row r="325" spans="1:3" ht="15.75" customHeight="1">
      <c r="A325" s="13" t="s">
        <v>333</v>
      </c>
      <c r="B325" s="20">
        <v>1.4464999999999999</v>
      </c>
      <c r="C325" s="13" t="s">
        <v>545</v>
      </c>
    </row>
    <row r="326" spans="1:3" ht="15.75" customHeight="1">
      <c r="A326" s="13" t="s">
        <v>334</v>
      </c>
      <c r="B326" s="20">
        <v>1.6</v>
      </c>
      <c r="C326" s="13" t="s">
        <v>545</v>
      </c>
    </row>
    <row r="327" spans="1:3" ht="15.75" customHeight="1">
      <c r="A327" s="13" t="s">
        <v>335</v>
      </c>
      <c r="B327" s="20">
        <v>1.1221122112211221</v>
      </c>
      <c r="C327" s="13" t="s">
        <v>544</v>
      </c>
    </row>
    <row r="328" spans="1:3" ht="15.75" customHeight="1">
      <c r="A328" s="13" t="s">
        <v>336</v>
      </c>
      <c r="B328" s="20">
        <v>1.36333056989307</v>
      </c>
      <c r="C328" s="13" t="s">
        <v>545</v>
      </c>
    </row>
    <row r="329" spans="1:3" ht="15.75" customHeight="1">
      <c r="A329" s="13" t="s">
        <v>337</v>
      </c>
      <c r="B329" s="20">
        <v>2.6150000000000002</v>
      </c>
      <c r="C329" s="13" t="s">
        <v>544</v>
      </c>
    </row>
    <row r="330" spans="1:3" ht="15.75" customHeight="1">
      <c r="A330" s="13" t="s">
        <v>338</v>
      </c>
      <c r="B330" s="20">
        <v>58.569869919363633</v>
      </c>
      <c r="C330" s="13" t="s">
        <v>545</v>
      </c>
    </row>
    <row r="331" spans="1:3" ht="15.75" customHeight="1">
      <c r="A331" s="13" t="s">
        <v>338</v>
      </c>
      <c r="B331" s="20">
        <v>0.68094377209573298</v>
      </c>
      <c r="C331" s="13" t="s">
        <v>545</v>
      </c>
    </row>
    <row r="332" spans="1:3" ht="15.75" customHeight="1">
      <c r="A332" s="13" t="s">
        <v>338</v>
      </c>
      <c r="B332" s="20">
        <v>0.34867448670927309</v>
      </c>
      <c r="C332" s="13" t="s">
        <v>545</v>
      </c>
    </row>
    <row r="333" spans="1:3" ht="15.75" customHeight="1">
      <c r="A333" s="13" t="s">
        <v>339</v>
      </c>
      <c r="B333" s="22" t="s">
        <v>581</v>
      </c>
      <c r="C333" s="12" t="s">
        <v>322</v>
      </c>
    </row>
    <row r="334" spans="1:3" ht="15.75" customHeight="1">
      <c r="A334" s="13" t="s">
        <v>341</v>
      </c>
      <c r="B334" s="20">
        <v>6.7240909999999987</v>
      </c>
      <c r="C334" s="13" t="s">
        <v>343</v>
      </c>
    </row>
    <row r="335" spans="1:3" ht="15.75" customHeight="1">
      <c r="A335" s="13" t="s">
        <v>342</v>
      </c>
      <c r="B335" s="20">
        <v>6.7240909999999987</v>
      </c>
      <c r="C335" s="13" t="s">
        <v>343</v>
      </c>
    </row>
    <row r="336" spans="1:3" ht="15.75" customHeight="1">
      <c r="A336" s="13" t="s">
        <v>344</v>
      </c>
      <c r="B336" s="20">
        <v>0.73487333333333327</v>
      </c>
      <c r="C336" s="13" t="s">
        <v>582</v>
      </c>
    </row>
    <row r="337" spans="1:3" ht="15.75" customHeight="1">
      <c r="A337" s="13" t="s">
        <v>345</v>
      </c>
      <c r="B337" s="20">
        <v>0.35</v>
      </c>
      <c r="C337" s="13" t="s">
        <v>545</v>
      </c>
    </row>
    <row r="338" spans="1:3" ht="15.75" customHeight="1">
      <c r="A338" s="13" t="s">
        <v>346</v>
      </c>
      <c r="B338" s="20">
        <v>0.27502750275027499</v>
      </c>
      <c r="C338" s="13" t="s">
        <v>544</v>
      </c>
    </row>
    <row r="339" spans="1:3" ht="15.75" customHeight="1">
      <c r="A339" s="13" t="s">
        <v>347</v>
      </c>
      <c r="B339" s="20">
        <v>0.85060851648351654</v>
      </c>
      <c r="C339" s="13" t="s">
        <v>545</v>
      </c>
    </row>
    <row r="340" spans="1:3" ht="15.75" customHeight="1">
      <c r="A340" s="13" t="s">
        <v>348</v>
      </c>
      <c r="B340" s="20">
        <v>0.53022229454047631</v>
      </c>
      <c r="C340" s="13" t="s">
        <v>545</v>
      </c>
    </row>
    <row r="341" spans="1:3" ht="15.75" customHeight="1">
      <c r="A341" s="13" t="s">
        <v>349</v>
      </c>
      <c r="B341" s="20">
        <v>0.27314494596312783</v>
      </c>
      <c r="C341" s="13" t="s">
        <v>545</v>
      </c>
    </row>
    <row r="342" spans="1:3" ht="15.75" customHeight="1">
      <c r="A342" s="13" t="s">
        <v>350</v>
      </c>
      <c r="B342" s="20">
        <v>0.43824605487105478</v>
      </c>
      <c r="C342" s="13" t="s">
        <v>545</v>
      </c>
    </row>
    <row r="343" spans="1:3" ht="15.75" customHeight="1">
      <c r="A343" s="13" t="s">
        <v>351</v>
      </c>
      <c r="B343" s="20">
        <v>1.135</v>
      </c>
      <c r="C343" s="13" t="s">
        <v>544</v>
      </c>
    </row>
    <row r="344" spans="1:3" ht="15.75" customHeight="1">
      <c r="A344" s="13" t="s">
        <v>352</v>
      </c>
      <c r="B344" s="20">
        <v>0.67211264050414998</v>
      </c>
      <c r="C344" s="13" t="s">
        <v>545</v>
      </c>
    </row>
    <row r="345" spans="1:3" ht="15.75" customHeight="1">
      <c r="A345" s="13" t="s">
        <v>353</v>
      </c>
      <c r="B345" s="20"/>
      <c r="C345" s="13"/>
    </row>
    <row r="346" spans="1:3" ht="15.75" customHeight="1">
      <c r="A346" s="13" t="s">
        <v>355</v>
      </c>
      <c r="B346" s="20">
        <v>30.76</v>
      </c>
      <c r="C346" s="13" t="s">
        <v>583</v>
      </c>
    </row>
    <row r="347" spans="1:3" ht="15.75" customHeight="1">
      <c r="A347" s="13" t="s">
        <v>356</v>
      </c>
      <c r="B347" s="20"/>
      <c r="C347" s="13"/>
    </row>
    <row r="348" spans="1:3" ht="15.75" customHeight="1">
      <c r="A348" s="13" t="s">
        <v>357</v>
      </c>
      <c r="B348" s="20"/>
      <c r="C348" s="13"/>
    </row>
    <row r="349" spans="1:3" ht="15.75" customHeight="1">
      <c r="A349" s="13" t="s">
        <v>359</v>
      </c>
      <c r="B349" s="20">
        <v>1.2231453026452519</v>
      </c>
      <c r="C349" s="13" t="s">
        <v>545</v>
      </c>
    </row>
    <row r="350" spans="1:3" ht="15.75" customHeight="1">
      <c r="A350" s="13" t="s">
        <v>360</v>
      </c>
      <c r="B350" s="20">
        <v>1.697032082996369</v>
      </c>
      <c r="C350" s="13" t="s">
        <v>545</v>
      </c>
    </row>
    <row r="351" spans="1:3" ht="15.75" customHeight="1">
      <c r="A351" s="13" t="s">
        <v>361</v>
      </c>
      <c r="B351" s="20"/>
      <c r="C351" s="13"/>
    </row>
    <row r="352" spans="1:3" ht="15.75" customHeight="1">
      <c r="A352" s="13" t="s">
        <v>363</v>
      </c>
      <c r="B352" s="20">
        <v>0.16958615384615383</v>
      </c>
      <c r="C352" s="13" t="s">
        <v>567</v>
      </c>
    </row>
    <row r="353" spans="1:3" ht="15.75" customHeight="1">
      <c r="A353" s="13" t="s">
        <v>364</v>
      </c>
      <c r="B353" s="20">
        <v>0.3140372730106773</v>
      </c>
      <c r="C353" s="13" t="s">
        <v>545</v>
      </c>
    </row>
    <row r="354" spans="1:3" ht="15.75" customHeight="1">
      <c r="A354" s="13" t="s">
        <v>364</v>
      </c>
      <c r="B354" s="20">
        <v>0.35257749999999999</v>
      </c>
      <c r="C354" s="13" t="s">
        <v>545</v>
      </c>
    </row>
    <row r="355" spans="1:3" ht="15.75" customHeight="1">
      <c r="A355" s="13" t="s">
        <v>365</v>
      </c>
      <c r="B355" s="20">
        <v>0.71507150715071499</v>
      </c>
      <c r="C355" s="13" t="s">
        <v>544</v>
      </c>
    </row>
    <row r="356" spans="1:3" ht="15.75" customHeight="1">
      <c r="A356" s="13" t="s">
        <v>366</v>
      </c>
      <c r="B356" s="20">
        <v>1.301016932141932</v>
      </c>
      <c r="C356" s="13" t="s">
        <v>545</v>
      </c>
    </row>
    <row r="357" spans="1:3" ht="15.75" customHeight="1">
      <c r="A357" s="13" t="s">
        <v>367</v>
      </c>
      <c r="B357" s="20">
        <v>0.96540000000000004</v>
      </c>
      <c r="C357" s="13" t="s">
        <v>554</v>
      </c>
    </row>
    <row r="358" spans="1:3" ht="15.75" customHeight="1">
      <c r="A358" s="13" t="s">
        <v>368</v>
      </c>
      <c r="B358" s="20">
        <v>0.97269065823065837</v>
      </c>
      <c r="C358" s="13" t="s">
        <v>545</v>
      </c>
    </row>
    <row r="359" spans="1:3" ht="15.75" customHeight="1">
      <c r="A359" s="13" t="s">
        <v>368</v>
      </c>
      <c r="B359" s="20">
        <v>0.72207316190735382</v>
      </c>
      <c r="C359" s="13" t="s">
        <v>545</v>
      </c>
    </row>
    <row r="360" spans="1:3" ht="15.75" customHeight="1">
      <c r="A360" s="13" t="s">
        <v>369</v>
      </c>
      <c r="B360" s="20">
        <v>0.86402688052688092</v>
      </c>
      <c r="C360" s="13" t="s">
        <v>545</v>
      </c>
    </row>
    <row r="361" spans="1:3" ht="15.75" customHeight="1">
      <c r="A361" s="13" t="s">
        <v>370</v>
      </c>
      <c r="B361" s="20">
        <v>3.3069299999999995</v>
      </c>
      <c r="C361" s="13" t="s">
        <v>584</v>
      </c>
    </row>
    <row r="362" spans="1:3" ht="15.75" customHeight="1">
      <c r="A362" s="13" t="s">
        <v>371</v>
      </c>
      <c r="B362" s="20">
        <v>0.23756547619047619</v>
      </c>
      <c r="C362" s="13" t="s">
        <v>545</v>
      </c>
    </row>
    <row r="363" spans="1:3" ht="15.75" customHeight="1">
      <c r="A363" s="13" t="s">
        <v>372</v>
      </c>
      <c r="B363" s="20">
        <v>0.60506050605060502</v>
      </c>
      <c r="C363" s="13" t="s">
        <v>544</v>
      </c>
    </row>
    <row r="364" spans="1:3" ht="15.75" customHeight="1">
      <c r="A364" s="13" t="s">
        <v>373</v>
      </c>
      <c r="B364" s="20">
        <v>0.22552255225522549</v>
      </c>
      <c r="C364" s="13" t="s">
        <v>544</v>
      </c>
    </row>
    <row r="365" spans="1:3" ht="15.75" customHeight="1">
      <c r="A365" s="13" t="s">
        <v>374</v>
      </c>
      <c r="B365" s="20">
        <v>18.12</v>
      </c>
      <c r="C365" s="13" t="s">
        <v>547</v>
      </c>
    </row>
    <row r="366" spans="1:3" ht="15.75" customHeight="1">
      <c r="A366" s="13" t="s">
        <v>375</v>
      </c>
      <c r="B366" s="20">
        <v>7.2110000000000012</v>
      </c>
      <c r="C366" s="13" t="s">
        <v>585</v>
      </c>
    </row>
    <row r="367" spans="1:3" ht="15.75" customHeight="1">
      <c r="A367" s="13" t="s">
        <v>376</v>
      </c>
      <c r="B367" s="20">
        <v>6.013764837944664</v>
      </c>
      <c r="C367" s="13" t="s">
        <v>586</v>
      </c>
    </row>
    <row r="368" spans="1:3" ht="15.75" customHeight="1">
      <c r="A368" s="13" t="s">
        <v>377</v>
      </c>
      <c r="B368" s="20">
        <v>8.8008800880088001E-2</v>
      </c>
      <c r="C368" s="13" t="s">
        <v>544</v>
      </c>
    </row>
    <row r="369" spans="1:3" ht="15.75" customHeight="1">
      <c r="A369" s="13" t="s">
        <v>378</v>
      </c>
      <c r="B369" s="20"/>
      <c r="C369" s="13"/>
    </row>
    <row r="370" spans="1:3" ht="15.75" customHeight="1">
      <c r="A370" s="13" t="s">
        <v>379</v>
      </c>
      <c r="B370" s="20"/>
      <c r="C370" s="13"/>
    </row>
    <row r="371" spans="1:3" ht="15.75" customHeight="1">
      <c r="A371" s="13" t="s">
        <v>380</v>
      </c>
      <c r="B371" s="20"/>
      <c r="C371" s="13"/>
    </row>
    <row r="372" spans="1:3" ht="15.75" customHeight="1">
      <c r="A372" s="13" t="s">
        <v>381</v>
      </c>
      <c r="B372" s="20"/>
      <c r="C372" s="13"/>
    </row>
    <row r="373" spans="1:3" ht="15.75" customHeight="1">
      <c r="A373" s="13" t="s">
        <v>382</v>
      </c>
      <c r="B373" s="20"/>
      <c r="C373" s="13"/>
    </row>
    <row r="374" spans="1:3" ht="15.75" customHeight="1">
      <c r="A374" s="13" t="s">
        <v>383</v>
      </c>
      <c r="B374" s="20">
        <v>6.7796666666666674</v>
      </c>
      <c r="C374" s="13" t="s">
        <v>545</v>
      </c>
    </row>
    <row r="375" spans="1:3" ht="15.75" customHeight="1">
      <c r="A375" s="13" t="s">
        <v>384</v>
      </c>
      <c r="B375" s="20">
        <v>1.5181518151815181</v>
      </c>
      <c r="C375" s="13" t="s">
        <v>544</v>
      </c>
    </row>
    <row r="376" spans="1:3" ht="15.75" customHeight="1">
      <c r="A376" s="13" t="s">
        <v>385</v>
      </c>
      <c r="B376" s="20">
        <v>0.24372760800521751</v>
      </c>
      <c r="C376" s="13" t="s">
        <v>545</v>
      </c>
    </row>
    <row r="377" spans="1:3" ht="15.75" customHeight="1">
      <c r="A377" s="13" t="s">
        <v>386</v>
      </c>
      <c r="B377" s="20">
        <v>0.24495756071713659</v>
      </c>
      <c r="C377" s="13" t="s">
        <v>545</v>
      </c>
    </row>
    <row r="378" spans="1:3" ht="15.75" customHeight="1">
      <c r="A378" s="13" t="s">
        <v>387</v>
      </c>
      <c r="B378" s="20">
        <v>0.22361149846757919</v>
      </c>
      <c r="C378" s="13" t="s">
        <v>545</v>
      </c>
    </row>
    <row r="379" spans="1:3" ht="15.75" customHeight="1">
      <c r="A379" s="13" t="s">
        <v>388</v>
      </c>
      <c r="B379" s="20">
        <v>0.66006600660066006</v>
      </c>
      <c r="C379" s="13" t="s">
        <v>544</v>
      </c>
    </row>
    <row r="380" spans="1:3" ht="15.75" customHeight="1">
      <c r="A380" s="13" t="s">
        <v>388</v>
      </c>
      <c r="B380" s="20">
        <v>0.32686031138838523</v>
      </c>
      <c r="C380" s="13" t="s">
        <v>545</v>
      </c>
    </row>
    <row r="381" spans="1:3" ht="15.75" customHeight="1">
      <c r="A381" s="13" t="s">
        <v>389</v>
      </c>
      <c r="B381" s="20">
        <v>0.61887640476321071</v>
      </c>
      <c r="C381" s="13" t="s">
        <v>545</v>
      </c>
    </row>
    <row r="382" spans="1:3" ht="15.75" customHeight="1">
      <c r="A382" s="13" t="s">
        <v>390</v>
      </c>
      <c r="B382" s="20">
        <v>0.80750435501369566</v>
      </c>
      <c r="C382" s="13" t="s">
        <v>545</v>
      </c>
    </row>
    <row r="383" spans="1:3" ht="15.75" customHeight="1">
      <c r="A383" s="13" t="s">
        <v>391</v>
      </c>
      <c r="B383" s="20">
        <v>0.57205720572057206</v>
      </c>
      <c r="C383" s="13" t="s">
        <v>544</v>
      </c>
    </row>
    <row r="384" spans="1:3" ht="15.75" customHeight="1">
      <c r="A384" s="13" t="s">
        <v>392</v>
      </c>
      <c r="B384" s="20">
        <v>0.60709090909090913</v>
      </c>
      <c r="C384" s="13" t="s">
        <v>545</v>
      </c>
    </row>
    <row r="385" spans="1:3" ht="15.75" customHeight="1">
      <c r="A385" s="13" t="s">
        <v>393</v>
      </c>
      <c r="B385" s="20">
        <v>0.38100827664399101</v>
      </c>
      <c r="C385" s="13" t="s">
        <v>545</v>
      </c>
    </row>
    <row r="386" spans="1:3" ht="15.75" customHeight="1">
      <c r="A386" s="13" t="s">
        <v>394</v>
      </c>
      <c r="B386" s="20">
        <v>0.53934476981351986</v>
      </c>
      <c r="C386" s="13" t="s">
        <v>545</v>
      </c>
    </row>
    <row r="387" spans="1:3" ht="15.75" customHeight="1">
      <c r="A387" s="13" t="s">
        <v>395</v>
      </c>
      <c r="B387" s="20">
        <v>0.63806380638063798</v>
      </c>
      <c r="C387" s="13" t="s">
        <v>544</v>
      </c>
    </row>
    <row r="388" spans="1:3" ht="15.75" customHeight="1">
      <c r="A388" s="13" t="s">
        <v>396</v>
      </c>
      <c r="B388" s="20">
        <v>0.39253692818809099</v>
      </c>
      <c r="C388" s="13" t="s">
        <v>545</v>
      </c>
    </row>
    <row r="389" spans="1:3" ht="15.75" customHeight="1">
      <c r="A389" s="13" t="s">
        <v>397</v>
      </c>
      <c r="B389" s="20">
        <v>0.39769638139638142</v>
      </c>
      <c r="C389" s="13" t="s">
        <v>545</v>
      </c>
    </row>
    <row r="390" spans="1:3" ht="15.75" customHeight="1">
      <c r="A390" s="13" t="s">
        <v>398</v>
      </c>
      <c r="B390" s="20">
        <v>0.46911883641050311</v>
      </c>
      <c r="C390" s="13" t="s">
        <v>545</v>
      </c>
    </row>
    <row r="391" spans="1:3" ht="15.75" customHeight="1">
      <c r="A391" s="13" t="s">
        <v>399</v>
      </c>
      <c r="B391" s="20">
        <v>0.37500586200000002</v>
      </c>
      <c r="C391" s="13" t="s">
        <v>557</v>
      </c>
    </row>
    <row r="392" spans="1:3" ht="15.75" customHeight="1">
      <c r="A392" s="13" t="s">
        <v>400</v>
      </c>
      <c r="B392" s="20">
        <v>0.30584209309209331</v>
      </c>
      <c r="C392" s="13" t="s">
        <v>545</v>
      </c>
    </row>
    <row r="393" spans="1:3" ht="15.75" customHeight="1">
      <c r="A393" s="13" t="s">
        <v>401</v>
      </c>
      <c r="B393" s="20">
        <v>0.27591680079180092</v>
      </c>
      <c r="C393" s="13" t="s">
        <v>545</v>
      </c>
    </row>
    <row r="394" spans="1:3" ht="15.75" customHeight="1">
      <c r="A394" s="13" t="s">
        <v>402</v>
      </c>
      <c r="B394" s="20">
        <v>0.27127927627927628</v>
      </c>
      <c r="C394" s="13" t="s">
        <v>545</v>
      </c>
    </row>
    <row r="395" spans="1:3" ht="15.75" customHeight="1">
      <c r="A395" s="13" t="s">
        <v>403</v>
      </c>
      <c r="B395" s="20">
        <v>0.44271985479797982</v>
      </c>
      <c r="C395" s="13" t="s">
        <v>545</v>
      </c>
    </row>
    <row r="396" spans="1:3" ht="15.75" customHeight="1">
      <c r="A396" s="13" t="s">
        <v>404</v>
      </c>
      <c r="B396" s="20">
        <v>0.52547022282274081</v>
      </c>
      <c r="C396" s="13" t="s">
        <v>545</v>
      </c>
    </row>
    <row r="397" spans="1:3" ht="15.75" customHeight="1">
      <c r="A397" s="13" t="s">
        <v>404</v>
      </c>
      <c r="B397" s="20">
        <v>0.39223049040128399</v>
      </c>
      <c r="C397" s="13" t="s">
        <v>545</v>
      </c>
    </row>
    <row r="398" spans="1:3" ht="15.75" customHeight="1">
      <c r="A398" s="13" t="s">
        <v>405</v>
      </c>
      <c r="B398" s="20">
        <v>0.35520833333333329</v>
      </c>
      <c r="C398" s="13" t="s">
        <v>545</v>
      </c>
    </row>
    <row r="399" spans="1:3" ht="15.75" customHeight="1">
      <c r="A399" s="13" t="s">
        <v>406</v>
      </c>
      <c r="B399" s="20">
        <v>0.39221559288664548</v>
      </c>
      <c r="C399" s="13" t="s">
        <v>545</v>
      </c>
    </row>
    <row r="400" spans="1:3" ht="15.75" customHeight="1">
      <c r="A400" s="13" t="s">
        <v>407</v>
      </c>
      <c r="B400" s="20">
        <v>0.40336531986531982</v>
      </c>
      <c r="C400" s="13" t="s">
        <v>545</v>
      </c>
    </row>
    <row r="401" spans="1:3" ht="15.75" customHeight="1">
      <c r="A401" s="13" t="s">
        <v>408</v>
      </c>
      <c r="B401" s="20">
        <v>0.60506050605060502</v>
      </c>
      <c r="C401" s="13" t="s">
        <v>544</v>
      </c>
    </row>
    <row r="402" spans="1:3" ht="15.75" customHeight="1">
      <c r="A402" s="13" t="s">
        <v>409</v>
      </c>
      <c r="B402" s="20">
        <v>0.57168902814357359</v>
      </c>
      <c r="C402" s="13" t="s">
        <v>545</v>
      </c>
    </row>
    <row r="403" spans="1:3" ht="15.75" customHeight="1">
      <c r="A403" s="13" t="s">
        <v>410</v>
      </c>
      <c r="B403" s="20">
        <v>0.44393668200486391</v>
      </c>
      <c r="C403" s="13" t="s">
        <v>545</v>
      </c>
    </row>
    <row r="404" spans="1:3" ht="15.75" customHeight="1">
      <c r="A404" s="13" t="s">
        <v>411</v>
      </c>
      <c r="B404" s="20">
        <v>0.46681545561717969</v>
      </c>
      <c r="C404" s="13" t="s">
        <v>545</v>
      </c>
    </row>
    <row r="405" spans="1:3" ht="15.75" customHeight="1">
      <c r="A405" s="13" t="s">
        <v>412</v>
      </c>
      <c r="B405" s="20"/>
      <c r="C405" s="13"/>
    </row>
    <row r="406" spans="1:3" ht="15.75" customHeight="1">
      <c r="A406" s="13" t="s">
        <v>413</v>
      </c>
      <c r="B406" s="20"/>
      <c r="C406" s="13" t="s">
        <v>587</v>
      </c>
    </row>
    <row r="407" spans="1:3" ht="15.75" customHeight="1">
      <c r="A407" s="13" t="s">
        <v>415</v>
      </c>
      <c r="B407" s="20"/>
      <c r="C407" s="13" t="s">
        <v>587</v>
      </c>
    </row>
    <row r="408" spans="1:3" ht="15.75" customHeight="1">
      <c r="A408" s="13" t="s">
        <v>416</v>
      </c>
      <c r="B408" s="20"/>
      <c r="C408" s="13"/>
    </row>
    <row r="409" spans="1:3" ht="15.75" customHeight="1">
      <c r="A409" s="13" t="s">
        <v>418</v>
      </c>
      <c r="B409" s="20"/>
      <c r="C409" s="13"/>
    </row>
    <row r="410" spans="1:3" ht="15.75" customHeight="1">
      <c r="A410" s="13" t="s">
        <v>419</v>
      </c>
      <c r="B410" s="20"/>
      <c r="C410" s="13" t="s">
        <v>587</v>
      </c>
    </row>
    <row r="411" spans="1:3" ht="15.75" customHeight="1">
      <c r="A411" s="13" t="s">
        <v>421</v>
      </c>
      <c r="B411" s="20"/>
      <c r="C411" s="13"/>
    </row>
    <row r="412" spans="1:3" ht="15.75" customHeight="1">
      <c r="A412" s="13" t="s">
        <v>422</v>
      </c>
      <c r="B412" s="20"/>
      <c r="C412" s="13"/>
    </row>
    <row r="413" spans="1:3" ht="15.75" customHeight="1">
      <c r="A413" s="13" t="s">
        <v>424</v>
      </c>
      <c r="B413" s="20"/>
      <c r="C413" s="13"/>
    </row>
    <row r="414" spans="1:3" ht="15.75" customHeight="1">
      <c r="A414" s="13" t="s">
        <v>426</v>
      </c>
      <c r="B414" s="20">
        <v>0.57205720572057206</v>
      </c>
      <c r="C414" s="13" t="s">
        <v>544</v>
      </c>
    </row>
    <row r="415" spans="1:3" ht="15.75" customHeight="1">
      <c r="A415" s="13" t="s">
        <v>427</v>
      </c>
      <c r="B415" s="20">
        <v>0.41999656179018602</v>
      </c>
      <c r="C415" s="13" t="s">
        <v>545</v>
      </c>
    </row>
    <row r="416" spans="1:3" ht="15.75" customHeight="1">
      <c r="A416" s="13" t="s">
        <v>428</v>
      </c>
      <c r="B416" s="20">
        <v>0.17142857142857143</v>
      </c>
      <c r="C416" s="13" t="s">
        <v>544</v>
      </c>
    </row>
    <row r="417" spans="1:3" ht="15.75" customHeight="1">
      <c r="A417" s="13" t="s">
        <v>429</v>
      </c>
      <c r="B417" s="20"/>
      <c r="C417" s="13"/>
    </row>
    <row r="418" spans="1:3" ht="15.75" customHeight="1">
      <c r="A418" s="13" t="s">
        <v>431</v>
      </c>
      <c r="B418" s="20">
        <v>10.5</v>
      </c>
      <c r="C418" s="13" t="s">
        <v>544</v>
      </c>
    </row>
    <row r="419" spans="1:3" ht="15.75" customHeight="1">
      <c r="A419" s="13" t="s">
        <v>432</v>
      </c>
      <c r="B419" s="20">
        <v>10</v>
      </c>
      <c r="C419" s="13" t="s">
        <v>546</v>
      </c>
    </row>
    <row r="420" spans="1:3" ht="15.75" customHeight="1">
      <c r="A420" s="13" t="s">
        <v>433</v>
      </c>
      <c r="B420" s="20">
        <v>10</v>
      </c>
      <c r="C420" s="13" t="s">
        <v>546</v>
      </c>
    </row>
    <row r="421" spans="1:3" ht="15.75" customHeight="1">
      <c r="A421" s="13" t="s">
        <v>434</v>
      </c>
      <c r="B421" s="20">
        <v>0.73313883744585495</v>
      </c>
      <c r="C421" s="13" t="s">
        <v>545</v>
      </c>
    </row>
    <row r="422" spans="1:3" ht="15.75" customHeight="1">
      <c r="A422" s="13" t="s">
        <v>434</v>
      </c>
      <c r="B422" s="20">
        <v>0.46586857683849919</v>
      </c>
      <c r="C422" s="13" t="s">
        <v>545</v>
      </c>
    </row>
    <row r="423" spans="1:3" ht="15.75" customHeight="1">
      <c r="A423" s="13" t="s">
        <v>435</v>
      </c>
      <c r="B423" s="20">
        <v>0.52498053246989418</v>
      </c>
      <c r="C423" s="13" t="s">
        <v>545</v>
      </c>
    </row>
    <row r="424" spans="1:3" ht="15.75" customHeight="1">
      <c r="A424" s="13" t="s">
        <v>435</v>
      </c>
      <c r="B424" s="20">
        <v>13.651017648287381</v>
      </c>
      <c r="C424" s="13" t="s">
        <v>545</v>
      </c>
    </row>
    <row r="425" spans="1:3" ht="15.75" customHeight="1">
      <c r="A425" s="13" t="s">
        <v>436</v>
      </c>
      <c r="B425" s="20">
        <v>0.2830125</v>
      </c>
      <c r="C425" s="13" t="s">
        <v>545</v>
      </c>
    </row>
    <row r="426" spans="1:3" ht="15.75" customHeight="1">
      <c r="A426" s="13" t="s">
        <v>437</v>
      </c>
      <c r="B426" s="20">
        <v>0.46377289377289382</v>
      </c>
      <c r="C426" s="13" t="s">
        <v>545</v>
      </c>
    </row>
    <row r="427" spans="1:3" ht="15.75" customHeight="1">
      <c r="A427" s="13" t="s">
        <v>438</v>
      </c>
      <c r="B427" s="20">
        <v>3.3128471666574679</v>
      </c>
      <c r="C427" s="13" t="s">
        <v>545</v>
      </c>
    </row>
    <row r="428" spans="1:3" ht="15.75" customHeight="1">
      <c r="A428" s="13" t="s">
        <v>439</v>
      </c>
      <c r="B428" s="20"/>
      <c r="C428" s="13"/>
    </row>
    <row r="429" spans="1:3" ht="15.75" customHeight="1">
      <c r="A429" s="13" t="s">
        <v>440</v>
      </c>
      <c r="B429" s="20"/>
      <c r="C429" s="13"/>
    </row>
    <row r="430" spans="1:3" ht="15.75" customHeight="1">
      <c r="A430" s="13" t="s">
        <v>441</v>
      </c>
      <c r="B430" s="20">
        <v>0.79207920792079201</v>
      </c>
      <c r="C430" s="13" t="s">
        <v>544</v>
      </c>
    </row>
    <row r="431" spans="1:3" ht="15.75" customHeight="1">
      <c r="A431" s="13" t="s">
        <v>442</v>
      </c>
      <c r="B431" s="20">
        <v>8.6900000000000005E-2</v>
      </c>
      <c r="C431" s="13" t="s">
        <v>559</v>
      </c>
    </row>
    <row r="432" spans="1:3" ht="15.75" customHeight="1">
      <c r="A432" s="13" t="s">
        <v>443</v>
      </c>
      <c r="B432" s="20">
        <v>0.28999999999999998</v>
      </c>
      <c r="C432" s="13" t="s">
        <v>559</v>
      </c>
    </row>
    <row r="433" spans="1:3" ht="15.75" customHeight="1">
      <c r="A433" s="13" t="s">
        <v>444</v>
      </c>
      <c r="B433" s="20">
        <v>3.7846590176060348</v>
      </c>
      <c r="C433" s="13" t="s">
        <v>545</v>
      </c>
    </row>
    <row r="434" spans="1:3" ht="15.75" customHeight="1">
      <c r="A434" s="13" t="s">
        <v>445</v>
      </c>
      <c r="B434" s="20">
        <v>0.29752437260933412</v>
      </c>
      <c r="C434" s="13" t="s">
        <v>545</v>
      </c>
    </row>
    <row r="435" spans="1:3" ht="15.75" customHeight="1">
      <c r="A435" s="13" t="s">
        <v>446</v>
      </c>
      <c r="B435" s="20">
        <v>0.38631781169768181</v>
      </c>
      <c r="C435" s="13" t="s">
        <v>545</v>
      </c>
    </row>
    <row r="436" spans="1:3" ht="15.75" customHeight="1">
      <c r="A436" s="13" t="s">
        <v>447</v>
      </c>
      <c r="B436" s="20">
        <v>0.35776809426528527</v>
      </c>
      <c r="C436" s="13" t="s">
        <v>545</v>
      </c>
    </row>
    <row r="437" spans="1:3" ht="15.75" customHeight="1">
      <c r="A437" s="13" t="s">
        <v>448</v>
      </c>
      <c r="B437" s="20">
        <v>2.6609320542402042</v>
      </c>
      <c r="C437" s="13" t="s">
        <v>545</v>
      </c>
    </row>
    <row r="438" spans="1:3" ht="15.75" customHeight="1">
      <c r="A438" s="13" t="s">
        <v>449</v>
      </c>
      <c r="B438" s="20">
        <v>0.30689395957577781</v>
      </c>
      <c r="C438" s="13" t="s">
        <v>545</v>
      </c>
    </row>
    <row r="439" spans="1:3" ht="15.75" customHeight="1">
      <c r="A439" s="13" t="s">
        <v>450</v>
      </c>
      <c r="B439" s="20">
        <v>0.29641537268287271</v>
      </c>
      <c r="C439" s="13" t="s">
        <v>545</v>
      </c>
    </row>
    <row r="440" spans="1:3" ht="15.75" customHeight="1">
      <c r="A440" s="13" t="s">
        <v>451</v>
      </c>
      <c r="B440" s="20">
        <v>1.209204634901683</v>
      </c>
      <c r="C440" s="13" t="s">
        <v>545</v>
      </c>
    </row>
    <row r="441" spans="1:3" ht="15.75" customHeight="1">
      <c r="A441" s="13" t="s">
        <v>452</v>
      </c>
      <c r="B441" s="20">
        <v>1.8595999999999999</v>
      </c>
      <c r="C441" s="13" t="s">
        <v>564</v>
      </c>
    </row>
    <row r="442" spans="1:3" ht="15.75" customHeight="1">
      <c r="A442" s="13" t="s">
        <v>453</v>
      </c>
      <c r="B442" s="20">
        <v>1.8586553419774581</v>
      </c>
      <c r="C442" s="13" t="s">
        <v>545</v>
      </c>
    </row>
    <row r="443" spans="1:3" ht="15.75" customHeight="1">
      <c r="A443" s="13" t="s">
        <v>453</v>
      </c>
      <c r="B443" s="20">
        <v>1.859783801537479</v>
      </c>
      <c r="C443" s="13" t="s">
        <v>545</v>
      </c>
    </row>
    <row r="444" spans="1:3" ht="15.75" customHeight="1">
      <c r="A444" s="13" t="s">
        <v>453</v>
      </c>
      <c r="B444" s="20">
        <v>1.7933475931912799</v>
      </c>
      <c r="C444" s="13" t="s">
        <v>545</v>
      </c>
    </row>
    <row r="445" spans="1:3" ht="15.75" customHeight="1">
      <c r="A445" s="13" t="s">
        <v>454</v>
      </c>
      <c r="B445" s="20">
        <v>2.4277879952245121</v>
      </c>
      <c r="C445" s="13" t="s">
        <v>545</v>
      </c>
    </row>
    <row r="446" spans="1:3" ht="15.75" customHeight="1">
      <c r="A446" s="13" t="s">
        <v>455</v>
      </c>
      <c r="B446" s="20">
        <v>2.4955893514433658</v>
      </c>
      <c r="C446" s="13" t="s">
        <v>545</v>
      </c>
    </row>
    <row r="447" spans="1:3" ht="15.75" customHeight="1">
      <c r="A447" s="13" t="s">
        <v>456</v>
      </c>
      <c r="B447" s="20">
        <v>1.8595999999999999</v>
      </c>
      <c r="C447" s="13" t="s">
        <v>564</v>
      </c>
    </row>
    <row r="448" spans="1:3" ht="15.75" customHeight="1">
      <c r="A448" s="13" t="s">
        <v>457</v>
      </c>
      <c r="B448" s="20">
        <v>3.974601851851852</v>
      </c>
      <c r="C448" s="13" t="s">
        <v>545</v>
      </c>
    </row>
    <row r="449" spans="1:3" ht="15.75" customHeight="1">
      <c r="A449" s="13" t="s">
        <v>458</v>
      </c>
      <c r="B449" s="20">
        <v>0.68833333333333335</v>
      </c>
      <c r="C449" s="13" t="s">
        <v>545</v>
      </c>
    </row>
    <row r="450" spans="1:3" ht="15.75" customHeight="1">
      <c r="A450" s="13" t="s">
        <v>459</v>
      </c>
      <c r="B450" s="20"/>
      <c r="C450" s="13"/>
    </row>
    <row r="451" spans="1:3" ht="15.75" customHeight="1">
      <c r="A451" s="13" t="s">
        <v>460</v>
      </c>
      <c r="B451" s="20">
        <v>5.4896821493624772</v>
      </c>
      <c r="C451" s="13" t="s">
        <v>545</v>
      </c>
    </row>
    <row r="452" spans="1:3" ht="15.75" customHeight="1">
      <c r="A452" s="13" t="s">
        <v>460</v>
      </c>
      <c r="B452" s="20">
        <v>3.7051729236512938</v>
      </c>
      <c r="C452" s="13" t="s">
        <v>545</v>
      </c>
    </row>
    <row r="453" spans="1:3" ht="15.75" customHeight="1">
      <c r="A453" s="13" t="s">
        <v>461</v>
      </c>
      <c r="B453" s="20">
        <v>7.1401450659084276</v>
      </c>
      <c r="C453" s="13" t="s">
        <v>545</v>
      </c>
    </row>
    <row r="454" spans="1:3" ht="15.75" customHeight="1">
      <c r="A454" s="13" t="s">
        <v>461</v>
      </c>
      <c r="B454" s="20">
        <v>6.9311458333333338</v>
      </c>
      <c r="C454" s="13" t="s">
        <v>545</v>
      </c>
    </row>
    <row r="455" spans="1:3" ht="15.75" customHeight="1">
      <c r="A455" s="13" t="s">
        <v>462</v>
      </c>
      <c r="B455" s="20">
        <v>1.751598591549296</v>
      </c>
      <c r="C455" s="13" t="s">
        <v>545</v>
      </c>
    </row>
    <row r="456" spans="1:3" ht="15.75" customHeight="1">
      <c r="A456" s="13" t="s">
        <v>462</v>
      </c>
      <c r="B456" s="20">
        <v>1.2216619230000001</v>
      </c>
      <c r="C456" s="13" t="s">
        <v>545</v>
      </c>
    </row>
    <row r="457" spans="1:3" ht="15.75" customHeight="1">
      <c r="A457" s="13" t="s">
        <v>463</v>
      </c>
      <c r="B457" s="20">
        <v>2.5</v>
      </c>
      <c r="C457" s="13" t="s">
        <v>544</v>
      </c>
    </row>
    <row r="458" spans="1:3" ht="15.75" customHeight="1">
      <c r="A458" s="13" t="s">
        <v>464</v>
      </c>
      <c r="B458" s="20">
        <v>0.1296835294117647</v>
      </c>
      <c r="C458" s="13" t="s">
        <v>567</v>
      </c>
    </row>
    <row r="459" spans="1:3" ht="15.75" customHeight="1">
      <c r="A459" s="13" t="s">
        <v>465</v>
      </c>
      <c r="B459" s="20">
        <v>3.3069299999999995</v>
      </c>
      <c r="C459" s="13" t="s">
        <v>588</v>
      </c>
    </row>
    <row r="460" spans="1:3" ht="15.75" customHeight="1">
      <c r="A460" s="13" t="s">
        <v>466</v>
      </c>
      <c r="B460" s="20">
        <v>0.88184799999999997</v>
      </c>
      <c r="C460" s="13" t="s">
        <v>589</v>
      </c>
    </row>
    <row r="461" spans="1:3" ht="15.75" customHeight="1">
      <c r="A461" s="13" t="s">
        <v>467</v>
      </c>
      <c r="B461" s="20">
        <v>0.88184799999999997</v>
      </c>
      <c r="C461" s="13" t="s">
        <v>589</v>
      </c>
    </row>
    <row r="462" spans="1:3" ht="15.75" customHeight="1">
      <c r="A462" s="13" t="s">
        <v>468</v>
      </c>
      <c r="B462" s="20">
        <v>0.29036100507679458</v>
      </c>
      <c r="C462" s="13" t="s">
        <v>545</v>
      </c>
    </row>
    <row r="463" spans="1:3" ht="15.75" customHeight="1">
      <c r="A463" s="13" t="s">
        <v>469</v>
      </c>
      <c r="B463" s="20"/>
      <c r="C463" s="13" t="s">
        <v>470</v>
      </c>
    </row>
    <row r="464" spans="1:3" ht="15.75" customHeight="1">
      <c r="A464" s="13" t="s">
        <v>471</v>
      </c>
      <c r="B464" s="20">
        <v>5.92</v>
      </c>
      <c r="C464" s="13" t="s">
        <v>547</v>
      </c>
    </row>
    <row r="465" spans="1:3" ht="15.75" customHeight="1">
      <c r="A465" s="13" t="s">
        <v>472</v>
      </c>
      <c r="B465" s="20"/>
      <c r="C465" s="13" t="s">
        <v>590</v>
      </c>
    </row>
    <row r="466" spans="1:3" ht="15.75" customHeight="1">
      <c r="A466" s="13" t="s">
        <v>474</v>
      </c>
      <c r="B466" s="20"/>
      <c r="C466" s="13" t="s">
        <v>417</v>
      </c>
    </row>
    <row r="467" spans="1:3" ht="15.75" customHeight="1">
      <c r="A467" s="13" t="s">
        <v>476</v>
      </c>
      <c r="B467" s="20">
        <v>0.2</v>
      </c>
      <c r="C467" s="13" t="s">
        <v>591</v>
      </c>
    </row>
    <row r="468" spans="1:3" ht="15.75" customHeight="1">
      <c r="A468" s="13" t="s">
        <v>477</v>
      </c>
      <c r="B468" s="20">
        <v>1.5</v>
      </c>
      <c r="C468" s="13" t="s">
        <v>544</v>
      </c>
    </row>
    <row r="469" spans="1:3" ht="15.75" customHeight="1">
      <c r="A469" s="13" t="s">
        <v>478</v>
      </c>
      <c r="B469" s="20">
        <v>0.38609181109895402</v>
      </c>
      <c r="C469" s="13" t="s">
        <v>545</v>
      </c>
    </row>
    <row r="470" spans="1:3" ht="15.75" customHeight="1">
      <c r="A470" s="13" t="s">
        <v>479</v>
      </c>
      <c r="B470" s="20">
        <v>0.36664490231990238</v>
      </c>
      <c r="C470" s="13" t="s">
        <v>545</v>
      </c>
    </row>
    <row r="471" spans="1:3" ht="15.75" customHeight="1">
      <c r="A471" s="13" t="s">
        <v>480</v>
      </c>
      <c r="B471" s="20">
        <v>6.24</v>
      </c>
      <c r="C471" s="13" t="s">
        <v>547</v>
      </c>
    </row>
    <row r="472" spans="1:3" ht="15.75" customHeight="1">
      <c r="A472" s="13" t="s">
        <v>481</v>
      </c>
      <c r="B472" s="20"/>
      <c r="C472" s="13"/>
    </row>
    <row r="473" spans="1:3" ht="15.75" customHeight="1">
      <c r="A473" s="13" t="s">
        <v>483</v>
      </c>
      <c r="B473" s="20">
        <v>6.24</v>
      </c>
      <c r="C473" s="13" t="s">
        <v>547</v>
      </c>
    </row>
    <row r="474" spans="1:3" ht="15.75" customHeight="1">
      <c r="A474" s="13" t="s">
        <v>484</v>
      </c>
      <c r="B474" s="20">
        <v>6.24</v>
      </c>
      <c r="C474" s="13" t="s">
        <v>547</v>
      </c>
    </row>
    <row r="475" spans="1:3" ht="15.75" customHeight="1">
      <c r="A475" s="13" t="s">
        <v>485</v>
      </c>
      <c r="B475" s="20"/>
      <c r="C475" s="13" t="s">
        <v>592</v>
      </c>
    </row>
    <row r="476" spans="1:3" ht="15.75" customHeight="1">
      <c r="A476" s="13" t="s">
        <v>486</v>
      </c>
      <c r="B476" s="20">
        <v>0.55139182750000004</v>
      </c>
      <c r="C476" s="13" t="s">
        <v>545</v>
      </c>
    </row>
    <row r="477" spans="1:3" ht="15.75" customHeight="1">
      <c r="A477" s="13" t="s">
        <v>487</v>
      </c>
      <c r="B477" s="20">
        <v>0.60506050605060502</v>
      </c>
      <c r="C477" s="13" t="s">
        <v>544</v>
      </c>
    </row>
    <row r="478" spans="1:3" ht="15.75" customHeight="1">
      <c r="A478" s="13" t="s">
        <v>487</v>
      </c>
      <c r="B478" s="20">
        <v>0.60627050000000005</v>
      </c>
      <c r="C478" s="13" t="s">
        <v>571</v>
      </c>
    </row>
    <row r="479" spans="1:3" ht="15.75" customHeight="1">
      <c r="A479" s="13" t="s">
        <v>488</v>
      </c>
      <c r="B479" s="20">
        <v>15.35</v>
      </c>
      <c r="C479" s="13" t="s">
        <v>544</v>
      </c>
    </row>
    <row r="480" spans="1:3" ht="15.75" customHeight="1">
      <c r="A480" s="13" t="s">
        <v>488</v>
      </c>
      <c r="B480" s="20"/>
      <c r="C480" s="13" t="s">
        <v>571</v>
      </c>
    </row>
    <row r="481" spans="1:3" ht="15.75" customHeight="1">
      <c r="A481" s="13" t="s">
        <v>489</v>
      </c>
      <c r="B481" s="20"/>
      <c r="C481" s="13"/>
    </row>
    <row r="482" spans="1:3" ht="15.75" customHeight="1">
      <c r="A482" s="13" t="s">
        <v>491</v>
      </c>
      <c r="B482" s="20">
        <v>5</v>
      </c>
      <c r="C482" s="13" t="s">
        <v>546</v>
      </c>
    </row>
    <row r="483" spans="1:3" ht="15.75" customHeight="1">
      <c r="A483" s="13" t="s">
        <v>492</v>
      </c>
      <c r="B483" s="20">
        <v>15.432339999999998</v>
      </c>
      <c r="C483" s="13" t="s">
        <v>593</v>
      </c>
    </row>
    <row r="484" spans="1:3" ht="15.75" customHeight="1">
      <c r="A484" s="13" t="s">
        <v>493</v>
      </c>
      <c r="B484" s="20">
        <v>0.71507150715071499</v>
      </c>
      <c r="C484" s="13" t="s">
        <v>544</v>
      </c>
    </row>
    <row r="485" spans="1:3" ht="15.75" customHeight="1">
      <c r="A485" s="13" t="s">
        <v>494</v>
      </c>
      <c r="B485" s="20">
        <v>1.1036999932521521</v>
      </c>
      <c r="C485" s="13" t="s">
        <v>545</v>
      </c>
    </row>
    <row r="486" spans="1:3" ht="15.75" customHeight="1">
      <c r="A486" s="13" t="s">
        <v>494</v>
      </c>
      <c r="B486" s="20">
        <v>0.89208535104717812</v>
      </c>
      <c r="C486" s="13" t="s">
        <v>545</v>
      </c>
    </row>
    <row r="487" spans="1:3" ht="15.75" customHeight="1">
      <c r="A487" s="13" t="s">
        <v>495</v>
      </c>
      <c r="B487" s="20">
        <v>0.60506050605060502</v>
      </c>
      <c r="C487" s="13" t="s">
        <v>544</v>
      </c>
    </row>
    <row r="488" spans="1:3" ht="15.75" customHeight="1">
      <c r="A488" s="13" t="s">
        <v>496</v>
      </c>
      <c r="B488" s="20">
        <v>0.44407345714285712</v>
      </c>
      <c r="C488" s="13" t="s">
        <v>557</v>
      </c>
    </row>
    <row r="489" spans="1:3" ht="15.75" customHeight="1">
      <c r="A489" s="13" t="s">
        <v>497</v>
      </c>
      <c r="B489" s="20">
        <v>0.53039012041598255</v>
      </c>
      <c r="C489" s="13" t="s">
        <v>545</v>
      </c>
    </row>
    <row r="490" spans="1:3" ht="15.75" customHeight="1">
      <c r="A490" s="13" t="s">
        <v>497</v>
      </c>
      <c r="B490" s="20">
        <v>0.2429690476190477</v>
      </c>
      <c r="C490" s="13" t="s">
        <v>545</v>
      </c>
    </row>
    <row r="491" spans="1:3" ht="15.75" customHeight="1">
      <c r="A491" s="13" t="s">
        <v>498</v>
      </c>
      <c r="B491" s="20">
        <v>0.62757589997304286</v>
      </c>
      <c r="C491" s="13" t="s">
        <v>545</v>
      </c>
    </row>
    <row r="492" spans="1:3" ht="15.75" customHeight="1">
      <c r="A492" s="13" t="s">
        <v>498</v>
      </c>
      <c r="B492" s="20">
        <v>0.45929038984451281</v>
      </c>
      <c r="C492" s="13" t="s">
        <v>545</v>
      </c>
    </row>
    <row r="493" spans="1:3" ht="15.75" customHeight="1">
      <c r="A493" s="13" t="s">
        <v>499</v>
      </c>
      <c r="B493" s="20"/>
      <c r="C493" s="13" t="s">
        <v>594</v>
      </c>
    </row>
    <row r="494" spans="1:3" ht="15.75" customHeight="1">
      <c r="A494" s="13" t="s">
        <v>501</v>
      </c>
      <c r="B494" s="20">
        <v>1.677083333333333</v>
      </c>
      <c r="C494" s="13" t="s">
        <v>545</v>
      </c>
    </row>
    <row r="495" spans="1:3" ht="15.75" customHeight="1">
      <c r="A495" s="13" t="s">
        <v>502</v>
      </c>
      <c r="B495" s="20">
        <v>2.9100983999999999</v>
      </c>
      <c r="C495" s="13" t="s">
        <v>595</v>
      </c>
    </row>
    <row r="496" spans="1:3" ht="15.75" customHeight="1">
      <c r="A496" s="13" t="s">
        <v>503</v>
      </c>
      <c r="B496" s="20">
        <v>0.64269230769230767</v>
      </c>
      <c r="C496" s="13" t="s">
        <v>545</v>
      </c>
    </row>
    <row r="497" spans="1:3" ht="15.75" customHeight="1">
      <c r="A497" s="13" t="s">
        <v>503</v>
      </c>
      <c r="B497" s="20">
        <v>0.48570857994401578</v>
      </c>
      <c r="C497" s="13" t="s">
        <v>545</v>
      </c>
    </row>
    <row r="498" spans="1:3" ht="15.75" customHeight="1">
      <c r="A498" s="13" t="s">
        <v>504</v>
      </c>
      <c r="B498" s="20">
        <v>0.28536309523809528</v>
      </c>
      <c r="C498" s="13" t="s">
        <v>545</v>
      </c>
    </row>
    <row r="499" spans="1:3" ht="15.75" customHeight="1">
      <c r="A499" s="13" t="s">
        <v>505</v>
      </c>
      <c r="B499" s="20">
        <v>6.24</v>
      </c>
      <c r="C499" s="13" t="s">
        <v>547</v>
      </c>
    </row>
    <row r="500" spans="1:3" ht="15.75" customHeight="1">
      <c r="A500" s="13" t="s">
        <v>506</v>
      </c>
      <c r="B500" s="20">
        <v>26.455439999999996</v>
      </c>
      <c r="C500" s="13" t="s">
        <v>587</v>
      </c>
    </row>
    <row r="501" spans="1:3" ht="15.75" customHeight="1">
      <c r="A501" s="13" t="s">
        <v>507</v>
      </c>
      <c r="B501" s="20">
        <v>10</v>
      </c>
      <c r="C501" s="13" t="s">
        <v>596</v>
      </c>
    </row>
    <row r="502" spans="1:3" ht="15.75" customHeight="1">
      <c r="A502" s="13" t="s">
        <v>508</v>
      </c>
      <c r="B502" s="20">
        <v>0.66137566137566139</v>
      </c>
      <c r="C502" s="13" t="s">
        <v>544</v>
      </c>
    </row>
    <row r="503" spans="1:3" ht="15.75" customHeight="1">
      <c r="A503" s="13" t="s">
        <v>509</v>
      </c>
      <c r="B503" s="20">
        <v>0.41934995241521128</v>
      </c>
      <c r="C503" s="13" t="s">
        <v>545</v>
      </c>
    </row>
    <row r="504" spans="1:3" ht="15.75" customHeight="1">
      <c r="A504" s="13" t="s">
        <v>510</v>
      </c>
      <c r="B504" s="20">
        <v>0.50909090909090915</v>
      </c>
      <c r="C504" s="13" t="s">
        <v>545</v>
      </c>
    </row>
    <row r="505" spans="1:3" ht="15.75" customHeight="1">
      <c r="A505" s="13" t="s">
        <v>511</v>
      </c>
      <c r="B505" s="20">
        <v>0.55300000000000005</v>
      </c>
      <c r="C505" s="13" t="s">
        <v>545</v>
      </c>
    </row>
    <row r="506" spans="1:3" ht="15.75" customHeight="1">
      <c r="A506" s="13" t="s">
        <v>511</v>
      </c>
      <c r="B506" s="20">
        <v>0.49272727272727268</v>
      </c>
      <c r="C506" s="13" t="s">
        <v>545</v>
      </c>
    </row>
    <row r="507" spans="1:3" ht="15.75" customHeight="1">
      <c r="A507" s="13" t="s">
        <v>512</v>
      </c>
      <c r="B507" s="20">
        <v>1.1023099999999999</v>
      </c>
      <c r="C507" s="13" t="s">
        <v>597</v>
      </c>
    </row>
    <row r="508" spans="1:3" ht="15.75" customHeight="1">
      <c r="A508" s="13" t="s">
        <v>513</v>
      </c>
      <c r="B508" s="20">
        <v>1.8193999999999999</v>
      </c>
      <c r="C508" s="13" t="s">
        <v>554</v>
      </c>
    </row>
    <row r="509" spans="1:3" ht="15.75" customHeight="1">
      <c r="A509" s="13" t="s">
        <v>514</v>
      </c>
      <c r="B509" s="20">
        <v>1.871085514324645</v>
      </c>
      <c r="C509" s="13" t="s">
        <v>545</v>
      </c>
    </row>
    <row r="510" spans="1:3" ht="15.75" customHeight="1">
      <c r="A510" s="13" t="s">
        <v>515</v>
      </c>
      <c r="B510" s="20">
        <v>1.8996518879443409</v>
      </c>
      <c r="C510" s="13" t="s">
        <v>545</v>
      </c>
    </row>
    <row r="511" spans="1:3" ht="15.75" customHeight="1">
      <c r="A511" s="13" t="s">
        <v>516</v>
      </c>
      <c r="B511" s="20">
        <v>2.5453493565258269</v>
      </c>
      <c r="C511" s="13" t="s">
        <v>545</v>
      </c>
    </row>
    <row r="512" spans="1:3" ht="15.75" customHeight="1">
      <c r="A512" s="13" t="s">
        <v>517</v>
      </c>
      <c r="B512" s="20">
        <v>0.57205720572057206</v>
      </c>
      <c r="C512" s="13" t="s">
        <v>544</v>
      </c>
    </row>
    <row r="513" spans="1:3" ht="15.75" customHeight="1">
      <c r="A513" s="13" t="s">
        <v>518</v>
      </c>
      <c r="B513" s="20">
        <v>1.3227719999999998</v>
      </c>
      <c r="C513" s="13" t="s">
        <v>567</v>
      </c>
    </row>
    <row r="514" spans="1:3" ht="15.75" customHeight="1">
      <c r="A514" s="13" t="s">
        <v>519</v>
      </c>
      <c r="B514" s="20">
        <v>10.869565217391305</v>
      </c>
      <c r="C514" s="13" t="s">
        <v>598</v>
      </c>
    </row>
    <row r="515" spans="1:3" ht="15.75" customHeight="1">
      <c r="A515" s="13" t="s">
        <v>520</v>
      </c>
      <c r="B515" s="20">
        <v>10.869565217391305</v>
      </c>
      <c r="C515" s="13" t="s">
        <v>598</v>
      </c>
    </row>
    <row r="516" spans="1:3" ht="15.75" customHeight="1">
      <c r="A516" s="13" t="s">
        <v>521</v>
      </c>
      <c r="B516" s="20"/>
      <c r="C516" s="13" t="s">
        <v>522</v>
      </c>
    </row>
    <row r="517" spans="1:3" ht="15.75" customHeight="1">
      <c r="A517" s="13" t="s">
        <v>523</v>
      </c>
      <c r="B517" s="20"/>
      <c r="C517" s="13"/>
    </row>
    <row r="518" spans="1:3" ht="15.75" customHeight="1">
      <c r="A518" s="13" t="s">
        <v>525</v>
      </c>
      <c r="B518" s="20"/>
      <c r="C518" s="13"/>
    </row>
    <row r="519" spans="1:3" ht="15.75" customHeight="1">
      <c r="A519" s="13" t="s">
        <v>527</v>
      </c>
      <c r="B519" s="20"/>
      <c r="C519" s="13"/>
    </row>
    <row r="520" spans="1:3" ht="15.75" customHeight="1">
      <c r="A520" s="13" t="s">
        <v>528</v>
      </c>
      <c r="B520" s="20"/>
      <c r="C520" s="13" t="s">
        <v>545</v>
      </c>
    </row>
    <row r="521" spans="1:3" ht="15.75" customHeight="1">
      <c r="A521" s="13" t="s">
        <v>528</v>
      </c>
      <c r="B521" s="20"/>
      <c r="C521" s="13" t="s">
        <v>545</v>
      </c>
    </row>
    <row r="522" spans="1:3" ht="15.75" customHeight="1">
      <c r="A522" s="13" t="s">
        <v>530</v>
      </c>
      <c r="B522" s="20">
        <v>0.46389321563210462</v>
      </c>
      <c r="C522" s="13" t="s">
        <v>545</v>
      </c>
    </row>
    <row r="523" spans="1:3" ht="15.75" customHeight="1">
      <c r="A523" s="13" t="s">
        <v>531</v>
      </c>
      <c r="B523" s="20">
        <v>0.27597427408702407</v>
      </c>
      <c r="C523" s="13" t="s">
        <v>545</v>
      </c>
    </row>
    <row r="524" spans="1:3" ht="15.75" customHeight="1">
      <c r="A524" s="13" t="s">
        <v>532</v>
      </c>
      <c r="B524" s="20">
        <v>0.33884505268967052</v>
      </c>
      <c r="C524" s="13" t="s">
        <v>545</v>
      </c>
    </row>
    <row r="525" spans="1:3" ht="15.75" customHeight="1">
      <c r="A525" s="13" t="s">
        <v>533</v>
      </c>
      <c r="B525" s="20">
        <v>1.375</v>
      </c>
      <c r="C525" s="13" t="s">
        <v>544</v>
      </c>
    </row>
    <row r="526" spans="1:3" ht="15.75" customHeight="1">
      <c r="A526" s="13" t="s">
        <v>534</v>
      </c>
      <c r="B526" s="20">
        <v>0.30030431370729882</v>
      </c>
      <c r="C526" s="13" t="s">
        <v>545</v>
      </c>
    </row>
    <row r="527" spans="1:3" ht="15.75" customHeight="1">
      <c r="A527" s="13" t="s">
        <v>535</v>
      </c>
      <c r="B527" s="20">
        <v>0.38503850385038502</v>
      </c>
      <c r="C527" s="13" t="s">
        <v>544</v>
      </c>
    </row>
    <row r="528" spans="1:3" ht="15.75" customHeight="1">
      <c r="A528" s="13" t="s">
        <v>536</v>
      </c>
      <c r="B528" s="20">
        <v>0.2476666666666667</v>
      </c>
      <c r="C528" s="13" t="s">
        <v>545</v>
      </c>
    </row>
    <row r="529" spans="1:3" ht="15.75" customHeight="1">
      <c r="A529" s="13" t="s">
        <v>537</v>
      </c>
      <c r="B529" s="20">
        <v>0.49504950495049505</v>
      </c>
      <c r="C529" s="13" t="s">
        <v>544</v>
      </c>
    </row>
    <row r="530" spans="1:3" ht="15.75" customHeight="1">
      <c r="A530" s="13" t="s">
        <v>538</v>
      </c>
      <c r="B530" s="20"/>
      <c r="C530" s="13"/>
    </row>
    <row r="531" spans="1:3" ht="15.75" customHeight="1">
      <c r="B531" s="15"/>
    </row>
    <row r="532" spans="1:3" ht="15.75" customHeight="1">
      <c r="B532" s="15"/>
    </row>
    <row r="533" spans="1:3" ht="15.75" customHeight="1">
      <c r="B533" s="15"/>
    </row>
    <row r="534" spans="1:3" ht="15.75" customHeight="1">
      <c r="B534" s="15"/>
    </row>
    <row r="535" spans="1:3" ht="15.75" customHeight="1">
      <c r="B535" s="15"/>
    </row>
    <row r="536" spans="1:3" ht="15.75" customHeight="1">
      <c r="B536" s="15"/>
    </row>
    <row r="537" spans="1:3" ht="15.75" customHeight="1">
      <c r="B537" s="15"/>
    </row>
    <row r="538" spans="1:3" ht="15.75" customHeight="1">
      <c r="B538" s="15"/>
    </row>
    <row r="539" spans="1:3" ht="15.75" customHeight="1">
      <c r="B539" s="15"/>
    </row>
    <row r="540" spans="1:3" ht="15.75" customHeight="1">
      <c r="B540" s="15"/>
    </row>
    <row r="541" spans="1:3" ht="15.75" customHeight="1">
      <c r="B541" s="15"/>
    </row>
    <row r="542" spans="1:3" ht="15.75" customHeight="1">
      <c r="B542" s="15"/>
    </row>
    <row r="543" spans="1:3" ht="15.75" customHeight="1">
      <c r="B543" s="15"/>
    </row>
    <row r="544" spans="1:3" ht="15.75" customHeight="1">
      <c r="B544" s="15"/>
    </row>
    <row r="545" spans="2:2" ht="15.75" customHeight="1">
      <c r="B545" s="15"/>
    </row>
    <row r="546" spans="2:2" ht="15.75" customHeight="1">
      <c r="B546" s="15"/>
    </row>
    <row r="547" spans="2:2" ht="15.75" customHeight="1">
      <c r="B547" s="15"/>
    </row>
    <row r="548" spans="2:2" ht="15.75" customHeight="1">
      <c r="B548" s="15"/>
    </row>
    <row r="549" spans="2:2" ht="15.75" customHeight="1">
      <c r="B549" s="15"/>
    </row>
    <row r="550" spans="2:2" ht="15.75" customHeight="1">
      <c r="B550" s="15"/>
    </row>
    <row r="551" spans="2:2" ht="15.75" customHeight="1">
      <c r="B551" s="15"/>
    </row>
    <row r="552" spans="2:2" ht="15.75" customHeight="1">
      <c r="B552" s="15"/>
    </row>
    <row r="553" spans="2:2" ht="15.75" customHeight="1">
      <c r="B553" s="15"/>
    </row>
    <row r="554" spans="2:2" ht="15.75" customHeight="1">
      <c r="B554" s="15"/>
    </row>
    <row r="555" spans="2:2" ht="15.75" customHeight="1">
      <c r="B555" s="15"/>
    </row>
    <row r="556" spans="2:2" ht="15.75" customHeight="1">
      <c r="B556" s="15"/>
    </row>
    <row r="557" spans="2:2" ht="15.75" customHeight="1">
      <c r="B557" s="15"/>
    </row>
    <row r="558" spans="2:2" ht="15.75" customHeight="1">
      <c r="B558" s="15"/>
    </row>
    <row r="559" spans="2:2" ht="15.75" customHeight="1">
      <c r="B559" s="15"/>
    </row>
    <row r="560" spans="2:2" ht="15.75" customHeight="1">
      <c r="B560" s="15"/>
    </row>
    <row r="561" spans="2:2" ht="15.75" customHeight="1">
      <c r="B561" s="15"/>
    </row>
    <row r="562" spans="2:2" ht="15.75" customHeight="1">
      <c r="B562" s="15"/>
    </row>
    <row r="563" spans="2:2" ht="15.75" customHeight="1">
      <c r="B563" s="15"/>
    </row>
    <row r="564" spans="2:2" ht="15.75" customHeight="1">
      <c r="B564" s="15"/>
    </row>
    <row r="565" spans="2:2" ht="15.75" customHeight="1">
      <c r="B565" s="15"/>
    </row>
    <row r="566" spans="2:2" ht="15.75" customHeight="1">
      <c r="B566" s="15"/>
    </row>
    <row r="567" spans="2:2" ht="15.75" customHeight="1">
      <c r="B567" s="15"/>
    </row>
    <row r="568" spans="2:2" ht="15.75" customHeight="1">
      <c r="B568" s="15"/>
    </row>
    <row r="569" spans="2:2" ht="15.75" customHeight="1">
      <c r="B569" s="15"/>
    </row>
    <row r="570" spans="2:2" ht="15.75" customHeight="1">
      <c r="B570" s="15"/>
    </row>
    <row r="571" spans="2:2" ht="15.75" customHeight="1">
      <c r="B571" s="15"/>
    </row>
    <row r="572" spans="2:2" ht="15.75" customHeight="1">
      <c r="B572" s="15"/>
    </row>
    <row r="573" spans="2:2" ht="15.75" customHeight="1">
      <c r="B573" s="15"/>
    </row>
    <row r="574" spans="2:2" ht="15.75" customHeight="1">
      <c r="B574" s="15"/>
    </row>
    <row r="575" spans="2:2" ht="15.75" customHeight="1">
      <c r="B575" s="15"/>
    </row>
    <row r="576" spans="2:2" ht="15.75" customHeight="1">
      <c r="B576" s="15"/>
    </row>
    <row r="577" spans="2:2" ht="15.75" customHeight="1">
      <c r="B577" s="15"/>
    </row>
    <row r="578" spans="2:2" ht="15.75" customHeight="1">
      <c r="B578" s="15"/>
    </row>
    <row r="579" spans="2:2" ht="15.75" customHeight="1">
      <c r="B579" s="15"/>
    </row>
    <row r="580" spans="2:2" ht="15.75" customHeight="1">
      <c r="B580" s="15"/>
    </row>
    <row r="581" spans="2:2" ht="15.75" customHeight="1">
      <c r="B581" s="15"/>
    </row>
    <row r="582" spans="2:2" ht="15.75" customHeight="1">
      <c r="B582" s="15"/>
    </row>
    <row r="583" spans="2:2" ht="15.75" customHeight="1">
      <c r="B583" s="15"/>
    </row>
    <row r="584" spans="2:2" ht="15.75" customHeight="1">
      <c r="B584" s="15"/>
    </row>
    <row r="585" spans="2:2" ht="15.75" customHeight="1">
      <c r="B585" s="15"/>
    </row>
    <row r="586" spans="2:2" ht="15.75" customHeight="1">
      <c r="B586" s="15"/>
    </row>
    <row r="587" spans="2:2" ht="15.75" customHeight="1">
      <c r="B587" s="15"/>
    </row>
    <row r="588" spans="2:2" ht="15.75" customHeight="1">
      <c r="B588" s="15"/>
    </row>
    <row r="589" spans="2:2" ht="15.75" customHeight="1">
      <c r="B589" s="15"/>
    </row>
    <row r="590" spans="2:2" ht="15.75" customHeight="1">
      <c r="B590" s="15"/>
    </row>
    <row r="591" spans="2:2" ht="15.75" customHeight="1">
      <c r="B591" s="15"/>
    </row>
    <row r="592" spans="2:2" ht="15.75" customHeight="1">
      <c r="B592" s="15"/>
    </row>
    <row r="593" spans="2:2" ht="15.75" customHeight="1">
      <c r="B593" s="15"/>
    </row>
    <row r="594" spans="2:2" ht="15.75" customHeight="1">
      <c r="B594" s="15"/>
    </row>
    <row r="595" spans="2:2" ht="15.75" customHeight="1">
      <c r="B595" s="15"/>
    </row>
    <row r="596" spans="2:2" ht="15.75" customHeight="1">
      <c r="B596" s="15"/>
    </row>
    <row r="597" spans="2:2" ht="15.75" customHeight="1">
      <c r="B597" s="15"/>
    </row>
    <row r="598" spans="2:2" ht="15.75" customHeight="1">
      <c r="B598" s="15"/>
    </row>
    <row r="599" spans="2:2" ht="15.75" customHeight="1">
      <c r="B599" s="15"/>
    </row>
    <row r="600" spans="2:2" ht="15.75" customHeight="1">
      <c r="B600" s="15"/>
    </row>
    <row r="601" spans="2:2" ht="15.75" customHeight="1">
      <c r="B601" s="15"/>
    </row>
    <row r="602" spans="2:2" ht="15.75" customHeight="1">
      <c r="B602" s="15"/>
    </row>
    <row r="603" spans="2:2" ht="15.75" customHeight="1">
      <c r="B603" s="15"/>
    </row>
    <row r="604" spans="2:2" ht="15.75" customHeight="1">
      <c r="B604" s="15"/>
    </row>
    <row r="605" spans="2:2" ht="15.75" customHeight="1">
      <c r="B605" s="15"/>
    </row>
    <row r="606" spans="2:2" ht="15.75" customHeight="1">
      <c r="B606" s="15"/>
    </row>
    <row r="607" spans="2:2" ht="15.75" customHeight="1">
      <c r="B607" s="15"/>
    </row>
    <row r="608" spans="2:2" ht="15.75" customHeight="1">
      <c r="B608" s="15"/>
    </row>
    <row r="609" spans="2:2" ht="15.75" customHeight="1">
      <c r="B609" s="15"/>
    </row>
    <row r="610" spans="2:2" ht="15.75" customHeight="1">
      <c r="B610" s="15"/>
    </row>
    <row r="611" spans="2:2" ht="15.75" customHeight="1">
      <c r="B611" s="15"/>
    </row>
    <row r="612" spans="2:2" ht="15.75" customHeight="1">
      <c r="B612" s="15"/>
    </row>
    <row r="613" spans="2:2" ht="15.75" customHeight="1">
      <c r="B613" s="15"/>
    </row>
    <row r="614" spans="2:2" ht="15.75" customHeight="1">
      <c r="B614" s="15"/>
    </row>
    <row r="615" spans="2:2" ht="15.75" customHeight="1">
      <c r="B615" s="15"/>
    </row>
    <row r="616" spans="2:2" ht="15.75" customHeight="1">
      <c r="B616" s="15"/>
    </row>
    <row r="617" spans="2:2" ht="15.75" customHeight="1">
      <c r="B617" s="15"/>
    </row>
    <row r="618" spans="2:2" ht="15.75" customHeight="1">
      <c r="B618" s="15"/>
    </row>
    <row r="619" spans="2:2" ht="15.75" customHeight="1">
      <c r="B619" s="15"/>
    </row>
    <row r="620" spans="2:2" ht="15.75" customHeight="1">
      <c r="B620" s="15"/>
    </row>
    <row r="621" spans="2:2" ht="15.75" customHeight="1">
      <c r="B621" s="15"/>
    </row>
    <row r="622" spans="2:2" ht="15.75" customHeight="1">
      <c r="B622" s="15"/>
    </row>
    <row r="623" spans="2:2" ht="15.75" customHeight="1">
      <c r="B623" s="15"/>
    </row>
    <row r="624" spans="2:2" ht="15.75" customHeight="1">
      <c r="B624" s="15"/>
    </row>
    <row r="625" spans="2:2" ht="15.75" customHeight="1">
      <c r="B625" s="15"/>
    </row>
    <row r="626" spans="2:2" ht="15.75" customHeight="1">
      <c r="B626" s="15"/>
    </row>
    <row r="627" spans="2:2" ht="15.75" customHeight="1">
      <c r="B627" s="15"/>
    </row>
    <row r="628" spans="2:2" ht="15.75" customHeight="1">
      <c r="B628" s="15"/>
    </row>
    <row r="629" spans="2:2" ht="15.75" customHeight="1">
      <c r="B629" s="15"/>
    </row>
    <row r="630" spans="2:2" ht="15.75" customHeight="1">
      <c r="B630" s="15"/>
    </row>
    <row r="631" spans="2:2" ht="15.75" customHeight="1">
      <c r="B631" s="15"/>
    </row>
    <row r="632" spans="2:2" ht="15.75" customHeight="1">
      <c r="B632" s="15"/>
    </row>
    <row r="633" spans="2:2" ht="15.75" customHeight="1">
      <c r="B633" s="15"/>
    </row>
    <row r="634" spans="2:2" ht="15.75" customHeight="1">
      <c r="B634" s="15"/>
    </row>
    <row r="635" spans="2:2" ht="15.75" customHeight="1">
      <c r="B635" s="15"/>
    </row>
    <row r="636" spans="2:2" ht="15.75" customHeight="1">
      <c r="B636" s="15"/>
    </row>
    <row r="637" spans="2:2" ht="15.75" customHeight="1">
      <c r="B637" s="15"/>
    </row>
    <row r="638" spans="2:2" ht="15.75" customHeight="1">
      <c r="B638" s="15"/>
    </row>
    <row r="639" spans="2:2" ht="15.75" customHeight="1">
      <c r="B639" s="15"/>
    </row>
    <row r="640" spans="2:2" ht="15.75" customHeight="1">
      <c r="B640" s="15"/>
    </row>
    <row r="641" spans="2:2" ht="15.75" customHeight="1">
      <c r="B641" s="15"/>
    </row>
    <row r="642" spans="2:2" ht="15.75" customHeight="1">
      <c r="B642" s="15"/>
    </row>
    <row r="643" spans="2:2" ht="15.75" customHeight="1">
      <c r="B643" s="15"/>
    </row>
    <row r="644" spans="2:2" ht="15.75" customHeight="1">
      <c r="B644" s="15"/>
    </row>
    <row r="645" spans="2:2" ht="15.75" customHeight="1">
      <c r="B645" s="15"/>
    </row>
    <row r="646" spans="2:2" ht="15.75" customHeight="1">
      <c r="B646" s="15"/>
    </row>
    <row r="647" spans="2:2" ht="15.75" customHeight="1">
      <c r="B647" s="15"/>
    </row>
    <row r="648" spans="2:2" ht="15.75" customHeight="1">
      <c r="B648" s="15"/>
    </row>
    <row r="649" spans="2:2" ht="15.75" customHeight="1">
      <c r="B649" s="15"/>
    </row>
    <row r="650" spans="2:2" ht="15.75" customHeight="1">
      <c r="B650" s="15"/>
    </row>
    <row r="651" spans="2:2" ht="15.75" customHeight="1">
      <c r="B651" s="15"/>
    </row>
    <row r="652" spans="2:2" ht="15.75" customHeight="1">
      <c r="B652" s="15"/>
    </row>
    <row r="653" spans="2:2" ht="15.75" customHeight="1">
      <c r="B653" s="15"/>
    </row>
    <row r="654" spans="2:2" ht="15.75" customHeight="1">
      <c r="B654" s="15"/>
    </row>
    <row r="655" spans="2:2" ht="15.75" customHeight="1">
      <c r="B655" s="15"/>
    </row>
    <row r="656" spans="2:2" ht="15.75" customHeight="1">
      <c r="B656" s="15"/>
    </row>
    <row r="657" spans="2:2" ht="15.75" customHeight="1">
      <c r="B657" s="15"/>
    </row>
    <row r="658" spans="2:2" ht="15.75" customHeight="1">
      <c r="B658" s="15"/>
    </row>
    <row r="659" spans="2:2" ht="15.75" customHeight="1">
      <c r="B659" s="15"/>
    </row>
    <row r="660" spans="2:2" ht="15.75" customHeight="1">
      <c r="B660" s="15"/>
    </row>
    <row r="661" spans="2:2" ht="15.75" customHeight="1">
      <c r="B661" s="15"/>
    </row>
    <row r="662" spans="2:2" ht="15.75" customHeight="1">
      <c r="B662" s="15"/>
    </row>
    <row r="663" spans="2:2" ht="15.75" customHeight="1">
      <c r="B663" s="15"/>
    </row>
    <row r="664" spans="2:2" ht="15.75" customHeight="1">
      <c r="B664" s="15"/>
    </row>
    <row r="665" spans="2:2" ht="15.75" customHeight="1">
      <c r="B665" s="15"/>
    </row>
    <row r="666" spans="2:2" ht="15.75" customHeight="1">
      <c r="B666" s="15"/>
    </row>
    <row r="667" spans="2:2" ht="15.75" customHeight="1">
      <c r="B667" s="15"/>
    </row>
    <row r="668" spans="2:2" ht="15.75" customHeight="1">
      <c r="B668" s="15"/>
    </row>
    <row r="669" spans="2:2" ht="15.75" customHeight="1">
      <c r="B669" s="15"/>
    </row>
    <row r="670" spans="2:2" ht="15.75" customHeight="1">
      <c r="B670" s="15"/>
    </row>
    <row r="671" spans="2:2" ht="15.75" customHeight="1">
      <c r="B671" s="15"/>
    </row>
    <row r="672" spans="2:2" ht="15.75" customHeight="1">
      <c r="B672" s="15"/>
    </row>
    <row r="673" spans="2:2" ht="15.75" customHeight="1">
      <c r="B673" s="15"/>
    </row>
    <row r="674" spans="2:2" ht="15.75" customHeight="1">
      <c r="B674" s="15"/>
    </row>
    <row r="675" spans="2:2" ht="15.75" customHeight="1">
      <c r="B675" s="15"/>
    </row>
    <row r="676" spans="2:2" ht="15.75" customHeight="1">
      <c r="B676" s="15"/>
    </row>
    <row r="677" spans="2:2" ht="15.75" customHeight="1">
      <c r="B677" s="15"/>
    </row>
    <row r="678" spans="2:2" ht="15.75" customHeight="1">
      <c r="B678" s="15"/>
    </row>
    <row r="679" spans="2:2" ht="15.75" customHeight="1">
      <c r="B679" s="15"/>
    </row>
    <row r="680" spans="2:2" ht="15.75" customHeight="1">
      <c r="B680" s="15"/>
    </row>
    <row r="681" spans="2:2" ht="15.75" customHeight="1">
      <c r="B681" s="15"/>
    </row>
    <row r="682" spans="2:2" ht="15.75" customHeight="1">
      <c r="B682" s="15"/>
    </row>
    <row r="683" spans="2:2" ht="15.75" customHeight="1">
      <c r="B683" s="15"/>
    </row>
    <row r="684" spans="2:2" ht="15.75" customHeight="1">
      <c r="B684" s="15"/>
    </row>
    <row r="685" spans="2:2" ht="15.75" customHeight="1">
      <c r="B685" s="15"/>
    </row>
    <row r="686" spans="2:2" ht="15.75" customHeight="1">
      <c r="B686" s="15"/>
    </row>
    <row r="687" spans="2:2" ht="15.75" customHeight="1">
      <c r="B687" s="15"/>
    </row>
    <row r="688" spans="2:2" ht="15.75" customHeight="1">
      <c r="B688" s="15"/>
    </row>
    <row r="689" spans="2:2" ht="15.75" customHeight="1">
      <c r="B689" s="15"/>
    </row>
    <row r="690" spans="2:2" ht="15.75" customHeight="1">
      <c r="B690" s="15"/>
    </row>
    <row r="691" spans="2:2" ht="15.75" customHeight="1">
      <c r="B691" s="15"/>
    </row>
    <row r="692" spans="2:2" ht="15.75" customHeight="1">
      <c r="B692" s="15"/>
    </row>
    <row r="693" spans="2:2" ht="15.75" customHeight="1">
      <c r="B693" s="15"/>
    </row>
    <row r="694" spans="2:2" ht="15.75" customHeight="1">
      <c r="B694" s="15"/>
    </row>
    <row r="695" spans="2:2" ht="15.75" customHeight="1">
      <c r="B695" s="15"/>
    </row>
    <row r="696" spans="2:2" ht="15.75" customHeight="1">
      <c r="B696" s="15"/>
    </row>
    <row r="697" spans="2:2" ht="15.75" customHeight="1">
      <c r="B697" s="15"/>
    </row>
    <row r="698" spans="2:2" ht="15.75" customHeight="1">
      <c r="B698" s="15"/>
    </row>
    <row r="699" spans="2:2" ht="15.75" customHeight="1">
      <c r="B699" s="15"/>
    </row>
    <row r="700" spans="2:2" ht="15.75" customHeight="1">
      <c r="B700" s="15"/>
    </row>
    <row r="701" spans="2:2" ht="15.75" customHeight="1">
      <c r="B701" s="15"/>
    </row>
    <row r="702" spans="2:2" ht="15.75" customHeight="1">
      <c r="B702" s="15"/>
    </row>
    <row r="703" spans="2:2" ht="15.75" customHeight="1">
      <c r="B703" s="15"/>
    </row>
    <row r="704" spans="2:2" ht="15.75" customHeight="1">
      <c r="B704" s="15"/>
    </row>
    <row r="705" spans="2:2" ht="15.75" customHeight="1">
      <c r="B705" s="15"/>
    </row>
    <row r="706" spans="2:2" ht="15.75" customHeight="1">
      <c r="B706" s="15"/>
    </row>
    <row r="707" spans="2:2" ht="15.75" customHeight="1">
      <c r="B707" s="15"/>
    </row>
    <row r="708" spans="2:2" ht="15.75" customHeight="1">
      <c r="B708" s="15"/>
    </row>
    <row r="709" spans="2:2" ht="15.75" customHeight="1">
      <c r="B709" s="15"/>
    </row>
    <row r="710" spans="2:2" ht="15.75" customHeight="1">
      <c r="B710" s="15"/>
    </row>
    <row r="711" spans="2:2" ht="15.75" customHeight="1">
      <c r="B711" s="15"/>
    </row>
    <row r="712" spans="2:2" ht="15.75" customHeight="1">
      <c r="B712" s="15"/>
    </row>
    <row r="713" spans="2:2" ht="15.75" customHeight="1">
      <c r="B713" s="15"/>
    </row>
    <row r="714" spans="2:2" ht="15.75" customHeight="1">
      <c r="B714" s="15"/>
    </row>
    <row r="715" spans="2:2" ht="15.75" customHeight="1">
      <c r="B715" s="15"/>
    </row>
    <row r="716" spans="2:2" ht="15.75" customHeight="1">
      <c r="B716" s="15"/>
    </row>
    <row r="717" spans="2:2" ht="15.75" customHeight="1">
      <c r="B717" s="15"/>
    </row>
    <row r="718" spans="2:2" ht="15.75" customHeight="1">
      <c r="B718" s="15"/>
    </row>
    <row r="719" spans="2:2" ht="15.75" customHeight="1">
      <c r="B719" s="15"/>
    </row>
    <row r="720" spans="2:2" ht="15.75" customHeight="1">
      <c r="B720" s="15"/>
    </row>
    <row r="721" spans="2:2" ht="15.75" customHeight="1">
      <c r="B721" s="15"/>
    </row>
    <row r="722" spans="2:2" ht="15.75" customHeight="1">
      <c r="B722" s="15"/>
    </row>
    <row r="723" spans="2:2" ht="15.75" customHeight="1">
      <c r="B723" s="15"/>
    </row>
    <row r="724" spans="2:2" ht="15.75" customHeight="1">
      <c r="B724" s="15"/>
    </row>
    <row r="725" spans="2:2" ht="15.75" customHeight="1">
      <c r="B725" s="15"/>
    </row>
    <row r="726" spans="2:2" ht="15.75" customHeight="1">
      <c r="B726" s="15"/>
    </row>
    <row r="727" spans="2:2" ht="15.75" customHeight="1">
      <c r="B727" s="15"/>
    </row>
    <row r="728" spans="2:2" ht="15.75" customHeight="1">
      <c r="B728" s="15"/>
    </row>
    <row r="729" spans="2:2" ht="15.75" customHeight="1">
      <c r="B729" s="15"/>
    </row>
    <row r="730" spans="2:2" ht="15.75" customHeight="1">
      <c r="B730" s="15"/>
    </row>
    <row r="731" spans="2:2" ht="15.75" customHeight="1">
      <c r="B731" s="15"/>
    </row>
    <row r="732" spans="2:2" ht="15.75" customHeight="1">
      <c r="B732" s="15"/>
    </row>
    <row r="733" spans="2:2" ht="15.75" customHeight="1">
      <c r="B733" s="15"/>
    </row>
    <row r="734" spans="2:2" ht="15.75" customHeight="1">
      <c r="B734" s="15"/>
    </row>
    <row r="735" spans="2:2" ht="15.75" customHeight="1">
      <c r="B735" s="15"/>
    </row>
    <row r="736" spans="2:2" ht="15.75" customHeight="1">
      <c r="B736" s="15"/>
    </row>
    <row r="737" spans="2:2" ht="15.75" customHeight="1">
      <c r="B737" s="15"/>
    </row>
    <row r="738" spans="2:2" ht="15.75" customHeight="1">
      <c r="B738" s="15"/>
    </row>
    <row r="739" spans="2:2" ht="15.75" customHeight="1">
      <c r="B739" s="15"/>
    </row>
    <row r="740" spans="2:2" ht="15.75" customHeight="1">
      <c r="B740" s="15"/>
    </row>
    <row r="741" spans="2:2" ht="15.75" customHeight="1">
      <c r="B741" s="15"/>
    </row>
    <row r="742" spans="2:2" ht="15.75" customHeight="1">
      <c r="B742" s="15"/>
    </row>
    <row r="743" spans="2:2" ht="15.75" customHeight="1">
      <c r="B743" s="15"/>
    </row>
    <row r="744" spans="2:2" ht="15.75" customHeight="1">
      <c r="B744" s="15"/>
    </row>
    <row r="745" spans="2:2" ht="15.75" customHeight="1">
      <c r="B745" s="15"/>
    </row>
    <row r="746" spans="2:2" ht="15.75" customHeight="1">
      <c r="B746" s="15"/>
    </row>
    <row r="747" spans="2:2" ht="15.75" customHeight="1">
      <c r="B747" s="15"/>
    </row>
    <row r="748" spans="2:2" ht="15.75" customHeight="1">
      <c r="B748" s="15"/>
    </row>
    <row r="749" spans="2:2" ht="15.75" customHeight="1">
      <c r="B749" s="15"/>
    </row>
    <row r="750" spans="2:2" ht="15.75" customHeight="1">
      <c r="B750" s="15"/>
    </row>
    <row r="751" spans="2:2" ht="15.75" customHeight="1">
      <c r="B751" s="15"/>
    </row>
    <row r="752" spans="2:2" ht="15.75" customHeight="1">
      <c r="B752" s="15"/>
    </row>
    <row r="753" spans="2:2" ht="15.75" customHeight="1">
      <c r="B753" s="15"/>
    </row>
    <row r="754" spans="2:2" ht="15.75" customHeight="1">
      <c r="B754" s="15"/>
    </row>
    <row r="755" spans="2:2" ht="15.75" customHeight="1">
      <c r="B755" s="15"/>
    </row>
    <row r="756" spans="2:2" ht="15.75" customHeight="1">
      <c r="B756" s="15"/>
    </row>
    <row r="757" spans="2:2" ht="15.75" customHeight="1">
      <c r="B757" s="15"/>
    </row>
    <row r="758" spans="2:2" ht="15.75" customHeight="1">
      <c r="B758" s="15"/>
    </row>
    <row r="759" spans="2:2" ht="15.75" customHeight="1">
      <c r="B759" s="15"/>
    </row>
    <row r="760" spans="2:2" ht="15.75" customHeight="1">
      <c r="B760" s="15"/>
    </row>
    <row r="761" spans="2:2" ht="15.75" customHeight="1">
      <c r="B761" s="15"/>
    </row>
    <row r="762" spans="2:2" ht="15.75" customHeight="1">
      <c r="B762" s="15"/>
    </row>
    <row r="763" spans="2:2" ht="15.75" customHeight="1">
      <c r="B763" s="15"/>
    </row>
    <row r="764" spans="2:2" ht="15.75" customHeight="1">
      <c r="B764" s="15"/>
    </row>
    <row r="765" spans="2:2" ht="15.75" customHeight="1">
      <c r="B765" s="15"/>
    </row>
    <row r="766" spans="2:2" ht="15.75" customHeight="1">
      <c r="B766" s="15"/>
    </row>
    <row r="767" spans="2:2" ht="15.75" customHeight="1">
      <c r="B767" s="15"/>
    </row>
    <row r="768" spans="2:2" ht="15.75" customHeight="1">
      <c r="B768" s="15"/>
    </row>
    <row r="769" spans="2:2" ht="15.75" customHeight="1">
      <c r="B769" s="15"/>
    </row>
    <row r="770" spans="2:2" ht="15.75" customHeight="1">
      <c r="B770" s="15"/>
    </row>
    <row r="771" spans="2:2" ht="15.75" customHeight="1">
      <c r="B771" s="15"/>
    </row>
    <row r="772" spans="2:2" ht="15.75" customHeight="1">
      <c r="B772" s="15"/>
    </row>
    <row r="773" spans="2:2" ht="15.75" customHeight="1">
      <c r="B773" s="15"/>
    </row>
    <row r="774" spans="2:2" ht="15.75" customHeight="1">
      <c r="B774" s="15"/>
    </row>
    <row r="775" spans="2:2" ht="15.75" customHeight="1">
      <c r="B775" s="15"/>
    </row>
    <row r="776" spans="2:2" ht="15.75" customHeight="1">
      <c r="B776" s="15"/>
    </row>
    <row r="777" spans="2:2" ht="15.75" customHeight="1">
      <c r="B777" s="15"/>
    </row>
    <row r="778" spans="2:2" ht="15.75" customHeight="1">
      <c r="B778" s="15"/>
    </row>
    <row r="779" spans="2:2" ht="15.75" customHeight="1">
      <c r="B779" s="15"/>
    </row>
    <row r="780" spans="2:2" ht="15.75" customHeight="1">
      <c r="B780" s="15"/>
    </row>
    <row r="781" spans="2:2" ht="15.75" customHeight="1">
      <c r="B781" s="15"/>
    </row>
    <row r="782" spans="2:2" ht="15.75" customHeight="1">
      <c r="B782" s="15"/>
    </row>
    <row r="783" spans="2:2" ht="15.75" customHeight="1">
      <c r="B783" s="15"/>
    </row>
    <row r="784" spans="2:2" ht="15.75" customHeight="1">
      <c r="B784" s="15"/>
    </row>
    <row r="785" spans="2:2" ht="15.75" customHeight="1">
      <c r="B785" s="15"/>
    </row>
    <row r="786" spans="2:2" ht="15.75" customHeight="1">
      <c r="B786" s="15"/>
    </row>
    <row r="787" spans="2:2" ht="15.75" customHeight="1">
      <c r="B787" s="15"/>
    </row>
    <row r="788" spans="2:2" ht="15.75" customHeight="1">
      <c r="B788" s="15"/>
    </row>
    <row r="789" spans="2:2" ht="15.75" customHeight="1">
      <c r="B789" s="15"/>
    </row>
    <row r="790" spans="2:2" ht="15.75" customHeight="1">
      <c r="B790" s="15"/>
    </row>
    <row r="791" spans="2:2" ht="15.75" customHeight="1">
      <c r="B791" s="15"/>
    </row>
    <row r="792" spans="2:2" ht="15.75" customHeight="1">
      <c r="B792" s="15"/>
    </row>
    <row r="793" spans="2:2" ht="15.75" customHeight="1">
      <c r="B793" s="15"/>
    </row>
    <row r="794" spans="2:2" ht="15.75" customHeight="1">
      <c r="B794" s="15"/>
    </row>
    <row r="795" spans="2:2" ht="15.75" customHeight="1">
      <c r="B795" s="15"/>
    </row>
    <row r="796" spans="2:2" ht="15.75" customHeight="1">
      <c r="B796" s="15"/>
    </row>
    <row r="797" spans="2:2" ht="15.75" customHeight="1">
      <c r="B797" s="15"/>
    </row>
    <row r="798" spans="2:2" ht="15.75" customHeight="1">
      <c r="B798" s="15"/>
    </row>
    <row r="799" spans="2:2" ht="15.75" customHeight="1">
      <c r="B799" s="15"/>
    </row>
    <row r="800" spans="2:2" ht="15.75" customHeight="1">
      <c r="B800" s="15"/>
    </row>
    <row r="801" spans="2:2" ht="15.75" customHeight="1">
      <c r="B801" s="15"/>
    </row>
    <row r="802" spans="2:2" ht="15.75" customHeight="1">
      <c r="B802" s="15"/>
    </row>
    <row r="803" spans="2:2" ht="15.75" customHeight="1">
      <c r="B803" s="15"/>
    </row>
    <row r="804" spans="2:2" ht="15.75" customHeight="1">
      <c r="B804" s="15"/>
    </row>
    <row r="805" spans="2:2" ht="15.75" customHeight="1">
      <c r="B805" s="15"/>
    </row>
    <row r="806" spans="2:2" ht="15.75" customHeight="1">
      <c r="B806" s="15"/>
    </row>
    <row r="807" spans="2:2" ht="15.75" customHeight="1">
      <c r="B807" s="15"/>
    </row>
    <row r="808" spans="2:2" ht="15.75" customHeight="1">
      <c r="B808" s="15"/>
    </row>
    <row r="809" spans="2:2" ht="15.75" customHeight="1">
      <c r="B809" s="15"/>
    </row>
    <row r="810" spans="2:2" ht="15.75" customHeight="1">
      <c r="B810" s="15"/>
    </row>
    <row r="811" spans="2:2" ht="15.75" customHeight="1">
      <c r="B811" s="15"/>
    </row>
    <row r="812" spans="2:2" ht="15.75" customHeight="1">
      <c r="B812" s="15"/>
    </row>
    <row r="813" spans="2:2" ht="15.75" customHeight="1">
      <c r="B813" s="15"/>
    </row>
    <row r="814" spans="2:2" ht="15.75" customHeight="1">
      <c r="B814" s="15"/>
    </row>
    <row r="815" spans="2:2" ht="15.75" customHeight="1">
      <c r="B815" s="15"/>
    </row>
    <row r="816" spans="2:2" ht="15.75" customHeight="1">
      <c r="B816" s="15"/>
    </row>
    <row r="817" spans="2:2" ht="15.75" customHeight="1">
      <c r="B817" s="15"/>
    </row>
    <row r="818" spans="2:2" ht="15.75" customHeight="1">
      <c r="B818" s="15"/>
    </row>
    <row r="819" spans="2:2" ht="15.75" customHeight="1">
      <c r="B819" s="15"/>
    </row>
    <row r="820" spans="2:2" ht="15.75" customHeight="1">
      <c r="B820" s="15"/>
    </row>
    <row r="821" spans="2:2" ht="15.75" customHeight="1">
      <c r="B821" s="15"/>
    </row>
    <row r="822" spans="2:2" ht="15.75" customHeight="1">
      <c r="B822" s="15"/>
    </row>
    <row r="823" spans="2:2" ht="15.75" customHeight="1">
      <c r="B823" s="15"/>
    </row>
    <row r="824" spans="2:2" ht="15.75" customHeight="1">
      <c r="B824" s="15"/>
    </row>
    <row r="825" spans="2:2" ht="15.75" customHeight="1">
      <c r="B825" s="15"/>
    </row>
    <row r="826" spans="2:2" ht="15.75" customHeight="1">
      <c r="B826" s="15"/>
    </row>
    <row r="827" spans="2:2" ht="15.75" customHeight="1">
      <c r="B827" s="15"/>
    </row>
    <row r="828" spans="2:2" ht="15.75" customHeight="1">
      <c r="B828" s="15"/>
    </row>
    <row r="829" spans="2:2" ht="15.75" customHeight="1">
      <c r="B829" s="15"/>
    </row>
    <row r="830" spans="2:2" ht="15.75" customHeight="1">
      <c r="B830" s="15"/>
    </row>
    <row r="831" spans="2:2" ht="15.75" customHeight="1">
      <c r="B831" s="15"/>
    </row>
    <row r="832" spans="2:2" ht="15.75" customHeight="1">
      <c r="B832" s="15"/>
    </row>
    <row r="833" spans="2:2" ht="15.75" customHeight="1">
      <c r="B833" s="15"/>
    </row>
    <row r="834" spans="2:2" ht="15.75" customHeight="1">
      <c r="B834" s="15"/>
    </row>
    <row r="835" spans="2:2" ht="15.75" customHeight="1">
      <c r="B835" s="15"/>
    </row>
    <row r="836" spans="2:2" ht="15.75" customHeight="1">
      <c r="B836" s="15"/>
    </row>
    <row r="837" spans="2:2" ht="15.75" customHeight="1">
      <c r="B837" s="15"/>
    </row>
    <row r="838" spans="2:2" ht="15.75" customHeight="1">
      <c r="B838" s="15"/>
    </row>
    <row r="839" spans="2:2" ht="15.75" customHeight="1">
      <c r="B839" s="15"/>
    </row>
    <row r="840" spans="2:2" ht="15.75" customHeight="1">
      <c r="B840" s="15"/>
    </row>
    <row r="841" spans="2:2" ht="15.75" customHeight="1">
      <c r="B841" s="15"/>
    </row>
    <row r="842" spans="2:2" ht="15.75" customHeight="1">
      <c r="B842" s="15"/>
    </row>
    <row r="843" spans="2:2" ht="15.75" customHeight="1">
      <c r="B843" s="15"/>
    </row>
    <row r="844" spans="2:2" ht="15.75" customHeight="1">
      <c r="B844" s="15"/>
    </row>
    <row r="845" spans="2:2" ht="15.75" customHeight="1">
      <c r="B845" s="15"/>
    </row>
    <row r="846" spans="2:2" ht="15.75" customHeight="1">
      <c r="B846" s="15"/>
    </row>
    <row r="847" spans="2:2" ht="15.75" customHeight="1">
      <c r="B847" s="15"/>
    </row>
    <row r="848" spans="2:2" ht="15.75" customHeight="1">
      <c r="B848" s="15"/>
    </row>
    <row r="849" spans="2:2" ht="15.75" customHeight="1">
      <c r="B849" s="15"/>
    </row>
    <row r="850" spans="2:2" ht="15.75" customHeight="1">
      <c r="B850" s="15"/>
    </row>
    <row r="851" spans="2:2" ht="15.75" customHeight="1">
      <c r="B851" s="15"/>
    </row>
    <row r="852" spans="2:2" ht="15.75" customHeight="1">
      <c r="B852" s="15"/>
    </row>
    <row r="853" spans="2:2" ht="15.75" customHeight="1">
      <c r="B853" s="15"/>
    </row>
    <row r="854" spans="2:2" ht="15.75" customHeight="1">
      <c r="B854" s="15"/>
    </row>
    <row r="855" spans="2:2" ht="15.75" customHeight="1">
      <c r="B855" s="15"/>
    </row>
    <row r="856" spans="2:2" ht="15.75" customHeight="1">
      <c r="B856" s="15"/>
    </row>
    <row r="857" spans="2:2" ht="15.75" customHeight="1">
      <c r="B857" s="15"/>
    </row>
    <row r="858" spans="2:2" ht="15.75" customHeight="1">
      <c r="B858" s="15"/>
    </row>
    <row r="859" spans="2:2" ht="15.75" customHeight="1">
      <c r="B859" s="15"/>
    </row>
    <row r="860" spans="2:2" ht="15.75" customHeight="1">
      <c r="B860" s="15"/>
    </row>
    <row r="861" spans="2:2" ht="15.75" customHeight="1">
      <c r="B861" s="15"/>
    </row>
    <row r="862" spans="2:2" ht="15.75" customHeight="1">
      <c r="B862" s="15"/>
    </row>
    <row r="863" spans="2:2" ht="15.75" customHeight="1">
      <c r="B863" s="15"/>
    </row>
    <row r="864" spans="2:2" ht="15.75" customHeight="1">
      <c r="B864" s="15"/>
    </row>
    <row r="865" spans="2:2" ht="15.75" customHeight="1">
      <c r="B865" s="15"/>
    </row>
    <row r="866" spans="2:2" ht="15.75" customHeight="1">
      <c r="B866" s="15"/>
    </row>
    <row r="867" spans="2:2" ht="15.75" customHeight="1">
      <c r="B867" s="15"/>
    </row>
    <row r="868" spans="2:2" ht="15.75" customHeight="1">
      <c r="B868" s="15"/>
    </row>
    <row r="869" spans="2:2" ht="15.75" customHeight="1">
      <c r="B869" s="15"/>
    </row>
    <row r="870" spans="2:2" ht="15.75" customHeight="1">
      <c r="B870" s="15"/>
    </row>
    <row r="871" spans="2:2" ht="15.75" customHeight="1">
      <c r="B871" s="15"/>
    </row>
    <row r="872" spans="2:2" ht="15.75" customHeight="1">
      <c r="B872" s="15"/>
    </row>
    <row r="873" spans="2:2" ht="15.75" customHeight="1">
      <c r="B873" s="15"/>
    </row>
    <row r="874" spans="2:2" ht="15.75" customHeight="1">
      <c r="B874" s="15"/>
    </row>
    <row r="875" spans="2:2" ht="15.75" customHeight="1">
      <c r="B875" s="15"/>
    </row>
    <row r="876" spans="2:2" ht="15.75" customHeight="1">
      <c r="B876" s="15"/>
    </row>
    <row r="877" spans="2:2" ht="15.75" customHeight="1">
      <c r="B877" s="15"/>
    </row>
    <row r="878" spans="2:2" ht="15.75" customHeight="1">
      <c r="B878" s="15"/>
    </row>
    <row r="879" spans="2:2" ht="15.75" customHeight="1">
      <c r="B879" s="15"/>
    </row>
    <row r="880" spans="2:2" ht="15.75" customHeight="1">
      <c r="B880" s="15"/>
    </row>
    <row r="881" spans="2:2" ht="15.75" customHeight="1">
      <c r="B881" s="15"/>
    </row>
    <row r="882" spans="2:2" ht="15.75" customHeight="1">
      <c r="B882" s="15"/>
    </row>
    <row r="883" spans="2:2" ht="15.75" customHeight="1">
      <c r="B883" s="15"/>
    </row>
    <row r="884" spans="2:2" ht="15.75" customHeight="1">
      <c r="B884" s="15"/>
    </row>
    <row r="885" spans="2:2" ht="15.75" customHeight="1">
      <c r="B885" s="15"/>
    </row>
    <row r="886" spans="2:2" ht="15.75" customHeight="1">
      <c r="B886" s="15"/>
    </row>
    <row r="887" spans="2:2" ht="15.75" customHeight="1">
      <c r="B887" s="15"/>
    </row>
    <row r="888" spans="2:2" ht="15.75" customHeight="1">
      <c r="B888" s="15"/>
    </row>
    <row r="889" spans="2:2" ht="15.75" customHeight="1">
      <c r="B889" s="15"/>
    </row>
    <row r="890" spans="2:2" ht="15.75" customHeight="1">
      <c r="B890" s="15"/>
    </row>
    <row r="891" spans="2:2" ht="15.75" customHeight="1">
      <c r="B891" s="15"/>
    </row>
    <row r="892" spans="2:2" ht="15.75" customHeight="1">
      <c r="B892" s="15"/>
    </row>
    <row r="893" spans="2:2" ht="15.75" customHeight="1">
      <c r="B893" s="15"/>
    </row>
    <row r="894" spans="2:2" ht="15.75" customHeight="1">
      <c r="B894" s="15"/>
    </row>
    <row r="895" spans="2:2" ht="15.75" customHeight="1">
      <c r="B895" s="15"/>
    </row>
    <row r="896" spans="2:2" ht="15.75" customHeight="1">
      <c r="B896" s="15"/>
    </row>
    <row r="897" spans="2:2" ht="15.75" customHeight="1">
      <c r="B897" s="15"/>
    </row>
    <row r="898" spans="2:2" ht="15.75" customHeight="1">
      <c r="B898" s="15"/>
    </row>
    <row r="899" spans="2:2" ht="15.75" customHeight="1">
      <c r="B899" s="15"/>
    </row>
    <row r="900" spans="2:2" ht="15.75" customHeight="1">
      <c r="B900" s="15"/>
    </row>
    <row r="901" spans="2:2" ht="15.75" customHeight="1">
      <c r="B901" s="15"/>
    </row>
    <row r="902" spans="2:2" ht="15.75" customHeight="1">
      <c r="B902" s="15"/>
    </row>
    <row r="903" spans="2:2" ht="15.75" customHeight="1">
      <c r="B903" s="15"/>
    </row>
    <row r="904" spans="2:2" ht="15.75" customHeight="1">
      <c r="B904" s="15"/>
    </row>
    <row r="905" spans="2:2" ht="15.75" customHeight="1">
      <c r="B905" s="15"/>
    </row>
    <row r="906" spans="2:2" ht="15.75" customHeight="1">
      <c r="B906" s="15"/>
    </row>
    <row r="907" spans="2:2" ht="15.75" customHeight="1">
      <c r="B907" s="15"/>
    </row>
    <row r="908" spans="2:2" ht="15.75" customHeight="1">
      <c r="B908" s="15"/>
    </row>
    <row r="909" spans="2:2" ht="15.75" customHeight="1">
      <c r="B909" s="15"/>
    </row>
    <row r="910" spans="2:2" ht="15.75" customHeight="1">
      <c r="B910" s="15"/>
    </row>
    <row r="911" spans="2:2" ht="15.75" customHeight="1">
      <c r="B911" s="15"/>
    </row>
    <row r="912" spans="2:2" ht="15.75" customHeight="1">
      <c r="B912" s="15"/>
    </row>
    <row r="913" spans="2:2" ht="15.75" customHeight="1">
      <c r="B913" s="15"/>
    </row>
    <row r="914" spans="2:2" ht="15.75" customHeight="1">
      <c r="B914" s="15"/>
    </row>
    <row r="915" spans="2:2" ht="15.75" customHeight="1">
      <c r="B915" s="15"/>
    </row>
    <row r="916" spans="2:2" ht="15.75" customHeight="1">
      <c r="B916" s="15"/>
    </row>
    <row r="917" spans="2:2" ht="15.75" customHeight="1">
      <c r="B917" s="15"/>
    </row>
    <row r="918" spans="2:2" ht="15.75" customHeight="1">
      <c r="B918" s="15"/>
    </row>
    <row r="919" spans="2:2" ht="15.75" customHeight="1">
      <c r="B919" s="15"/>
    </row>
    <row r="920" spans="2:2" ht="15.75" customHeight="1">
      <c r="B920" s="15"/>
    </row>
    <row r="921" spans="2:2" ht="15.75" customHeight="1">
      <c r="B921" s="15"/>
    </row>
    <row r="922" spans="2:2" ht="15.75" customHeight="1">
      <c r="B922" s="15"/>
    </row>
    <row r="923" spans="2:2" ht="15.75" customHeight="1">
      <c r="B923" s="15"/>
    </row>
    <row r="924" spans="2:2" ht="15.75" customHeight="1">
      <c r="B924" s="15"/>
    </row>
    <row r="925" spans="2:2" ht="15.75" customHeight="1">
      <c r="B925" s="15"/>
    </row>
    <row r="926" spans="2:2" ht="15.75" customHeight="1">
      <c r="B926" s="15"/>
    </row>
    <row r="927" spans="2:2" ht="15.75" customHeight="1">
      <c r="B927" s="15"/>
    </row>
    <row r="928" spans="2:2" ht="15.75" customHeight="1">
      <c r="B928" s="15"/>
    </row>
    <row r="929" spans="2:2" ht="15.75" customHeight="1">
      <c r="B929" s="15"/>
    </row>
    <row r="930" spans="2:2" ht="15.75" customHeight="1">
      <c r="B930" s="15"/>
    </row>
    <row r="931" spans="2:2" ht="15.75" customHeight="1">
      <c r="B931" s="15"/>
    </row>
    <row r="932" spans="2:2" ht="15.75" customHeight="1">
      <c r="B932" s="15"/>
    </row>
    <row r="933" spans="2:2" ht="15.75" customHeight="1">
      <c r="B933" s="15"/>
    </row>
    <row r="934" spans="2:2" ht="15.75" customHeight="1">
      <c r="B934" s="15"/>
    </row>
    <row r="935" spans="2:2" ht="15.75" customHeight="1">
      <c r="B935" s="15"/>
    </row>
    <row r="936" spans="2:2" ht="15.75" customHeight="1">
      <c r="B936" s="15"/>
    </row>
    <row r="937" spans="2:2" ht="15.75" customHeight="1">
      <c r="B937" s="15"/>
    </row>
    <row r="938" spans="2:2" ht="15.75" customHeight="1">
      <c r="B938" s="15"/>
    </row>
    <row r="939" spans="2:2" ht="15.75" customHeight="1">
      <c r="B939" s="15"/>
    </row>
    <row r="940" spans="2:2" ht="15.75" customHeight="1">
      <c r="B940" s="15"/>
    </row>
    <row r="941" spans="2:2" ht="15.75" customHeight="1">
      <c r="B941" s="15"/>
    </row>
    <row r="942" spans="2:2" ht="15.75" customHeight="1">
      <c r="B942" s="15"/>
    </row>
    <row r="943" spans="2:2" ht="15.75" customHeight="1">
      <c r="B943" s="15"/>
    </row>
    <row r="944" spans="2:2" ht="15.75" customHeight="1">
      <c r="B944" s="15"/>
    </row>
    <row r="945" spans="2:2" ht="15.75" customHeight="1">
      <c r="B945" s="15"/>
    </row>
    <row r="946" spans="2:2" ht="15.75" customHeight="1">
      <c r="B946" s="15"/>
    </row>
    <row r="947" spans="2:2" ht="15.75" customHeight="1">
      <c r="B947" s="15"/>
    </row>
    <row r="948" spans="2:2" ht="15.75" customHeight="1">
      <c r="B948" s="15"/>
    </row>
    <row r="949" spans="2:2" ht="15.75" customHeight="1">
      <c r="B949" s="15"/>
    </row>
    <row r="950" spans="2:2" ht="15.75" customHeight="1">
      <c r="B950" s="15"/>
    </row>
    <row r="951" spans="2:2" ht="15.75" customHeight="1">
      <c r="B951" s="15"/>
    </row>
    <row r="952" spans="2:2" ht="15.75" customHeight="1">
      <c r="B952" s="15"/>
    </row>
    <row r="953" spans="2:2" ht="15.75" customHeight="1">
      <c r="B953" s="15"/>
    </row>
    <row r="954" spans="2:2" ht="15.75" customHeight="1">
      <c r="B954" s="15"/>
    </row>
    <row r="955" spans="2:2" ht="15.75" customHeight="1">
      <c r="B955" s="15"/>
    </row>
    <row r="956" spans="2:2" ht="15.75" customHeight="1">
      <c r="B956" s="15"/>
    </row>
    <row r="957" spans="2:2" ht="15.75" customHeight="1">
      <c r="B957" s="15"/>
    </row>
    <row r="958" spans="2:2" ht="15.75" customHeight="1">
      <c r="B958" s="15"/>
    </row>
    <row r="959" spans="2:2" ht="15.75" customHeight="1">
      <c r="B959" s="15"/>
    </row>
    <row r="960" spans="2:2" ht="15.75" customHeight="1">
      <c r="B960" s="15"/>
    </row>
    <row r="961" spans="2:2" ht="15.75" customHeight="1">
      <c r="B961" s="15"/>
    </row>
    <row r="962" spans="2:2" ht="15.75" customHeight="1">
      <c r="B962" s="15"/>
    </row>
    <row r="963" spans="2:2" ht="15.75" customHeight="1">
      <c r="B963" s="15"/>
    </row>
    <row r="964" spans="2:2" ht="15.75" customHeight="1">
      <c r="B964" s="15"/>
    </row>
    <row r="965" spans="2:2" ht="15.75" customHeight="1">
      <c r="B965" s="15"/>
    </row>
    <row r="966" spans="2:2" ht="15.75" customHeight="1">
      <c r="B966" s="15"/>
    </row>
    <row r="967" spans="2:2" ht="15.75" customHeight="1">
      <c r="B967" s="15"/>
    </row>
    <row r="968" spans="2:2" ht="15.75" customHeight="1">
      <c r="B968" s="15"/>
    </row>
    <row r="969" spans="2:2" ht="15.75" customHeight="1">
      <c r="B969" s="15"/>
    </row>
    <row r="970" spans="2:2" ht="15.75" customHeight="1">
      <c r="B970" s="15"/>
    </row>
    <row r="971" spans="2:2" ht="15.75" customHeight="1">
      <c r="B971" s="15"/>
    </row>
    <row r="972" spans="2:2" ht="15.75" customHeight="1">
      <c r="B972" s="15"/>
    </row>
    <row r="973" spans="2:2" ht="15.75" customHeight="1">
      <c r="B973" s="15"/>
    </row>
    <row r="974" spans="2:2" ht="15.75" customHeight="1">
      <c r="B974" s="15"/>
    </row>
    <row r="975" spans="2:2" ht="15.75" customHeight="1">
      <c r="B975" s="15"/>
    </row>
    <row r="976" spans="2:2" ht="15.75" customHeight="1">
      <c r="B976" s="15"/>
    </row>
    <row r="977" spans="2:2" ht="15.75" customHeight="1">
      <c r="B977" s="15"/>
    </row>
    <row r="978" spans="2:2" ht="15.75" customHeight="1">
      <c r="B978" s="15"/>
    </row>
    <row r="979" spans="2:2" ht="15.75" customHeight="1">
      <c r="B979" s="15"/>
    </row>
    <row r="980" spans="2:2" ht="15.75" customHeight="1">
      <c r="B980" s="15"/>
    </row>
    <row r="981" spans="2:2" ht="15.75" customHeight="1">
      <c r="B981" s="15"/>
    </row>
    <row r="982" spans="2:2" ht="15.75" customHeight="1">
      <c r="B982" s="15"/>
    </row>
    <row r="983" spans="2:2" ht="15.75" customHeight="1">
      <c r="B983" s="15"/>
    </row>
    <row r="984" spans="2:2" ht="15.75" customHeight="1">
      <c r="B984" s="15"/>
    </row>
    <row r="985" spans="2:2" ht="15.75" customHeight="1">
      <c r="B985" s="15"/>
    </row>
    <row r="986" spans="2:2" ht="15.75" customHeight="1">
      <c r="B986" s="15"/>
    </row>
    <row r="987" spans="2:2" ht="15.75" customHeight="1">
      <c r="B987" s="15"/>
    </row>
    <row r="988" spans="2:2" ht="15.75" customHeight="1">
      <c r="B988" s="15"/>
    </row>
    <row r="989" spans="2:2" ht="15.75" customHeight="1">
      <c r="B989" s="15"/>
    </row>
    <row r="990" spans="2:2" ht="15.75" customHeight="1">
      <c r="B990" s="15"/>
    </row>
    <row r="991" spans="2:2" ht="15.75" customHeight="1">
      <c r="B991" s="15"/>
    </row>
    <row r="992" spans="2:2" ht="15.75" customHeight="1">
      <c r="B992" s="15"/>
    </row>
    <row r="993" spans="2:2" ht="15.75" customHeight="1">
      <c r="B993" s="15"/>
    </row>
    <row r="994" spans="2:2" ht="15.75" customHeight="1">
      <c r="B994" s="15"/>
    </row>
    <row r="995" spans="2:2" ht="15.75" customHeight="1">
      <c r="B995" s="15"/>
    </row>
    <row r="996" spans="2:2" ht="15.75" customHeight="1">
      <c r="B996" s="15"/>
    </row>
    <row r="997" spans="2:2" ht="15.75" customHeight="1">
      <c r="B997" s="15"/>
    </row>
    <row r="998" spans="2:2" ht="15.75" customHeight="1">
      <c r="B998" s="15"/>
    </row>
    <row r="999" spans="2:2" ht="15.75" customHeight="1">
      <c r="B999" s="15"/>
    </row>
    <row r="1000" spans="2:2" ht="15.75" customHeight="1">
      <c r="B1000" s="15"/>
    </row>
  </sheetData>
  <hyperlinks>
    <hyperlink ref="C19" r:id="rId1" xr:uid="{00000000-0004-0000-0200-000000000000}"/>
    <hyperlink ref="C271" r:id="rId2" xr:uid="{00000000-0004-0000-0200-000001000000}"/>
    <hyperlink ref="C281" r:id="rId3" xr:uid="{00000000-0004-0000-0200-000002000000}"/>
    <hyperlink ref="C298" r:id="rId4" xr:uid="{00000000-0004-0000-0200-000003000000}"/>
    <hyperlink ref="C314" r:id="rId5" xr:uid="{00000000-0004-0000-0200-000004000000}"/>
    <hyperlink ref="C333" r:id="rId6" xr:uid="{00000000-0004-0000-0200-000005000000}"/>
  </hyperlinks>
  <pageMargins left="0.7" right="0.7" top="0.75" bottom="0.75" header="0" footer="0"/>
  <pageSetup orientation="landscape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baseColWidth="10" defaultColWidth="14.44140625" defaultRowHeight="15" customHeight="1"/>
  <cols>
    <col min="1" max="1" width="40.44140625" customWidth="1"/>
    <col min="2" max="2" width="10.88671875" customWidth="1"/>
    <col min="3" max="3" width="12.109375" customWidth="1"/>
    <col min="4" max="4" width="14.33203125" customWidth="1"/>
    <col min="5" max="5" width="12.88671875" customWidth="1"/>
    <col min="6" max="6" width="81.5546875" customWidth="1"/>
    <col min="7" max="7" width="14.6640625" customWidth="1"/>
    <col min="8" max="26" width="10.6640625" customWidth="1"/>
  </cols>
  <sheetData>
    <row r="1" spans="1:7" ht="14.4">
      <c r="A1" s="1" t="s">
        <v>0</v>
      </c>
      <c r="B1" s="1" t="s">
        <v>599</v>
      </c>
      <c r="C1" s="1" t="s">
        <v>600</v>
      </c>
      <c r="D1" s="1" t="s">
        <v>601</v>
      </c>
      <c r="E1" s="1" t="s">
        <v>602</v>
      </c>
      <c r="F1" s="23" t="s">
        <v>543</v>
      </c>
      <c r="G1" s="1" t="s">
        <v>1</v>
      </c>
    </row>
    <row r="2" spans="1:7" ht="14.4">
      <c r="A2" s="24" t="s">
        <v>26</v>
      </c>
      <c r="B2" s="24"/>
      <c r="C2" s="24"/>
      <c r="D2" s="24"/>
      <c r="E2" s="24"/>
      <c r="F2" s="25"/>
      <c r="G2" s="24"/>
    </row>
    <row r="3" spans="1:7" ht="14.4">
      <c r="A3" s="24" t="s">
        <v>2</v>
      </c>
      <c r="B3" s="24"/>
      <c r="C3" s="24"/>
      <c r="D3" s="24"/>
      <c r="E3" s="24"/>
      <c r="F3" s="25"/>
      <c r="G3" s="24"/>
    </row>
    <row r="4" spans="1:7" ht="14.4">
      <c r="A4" s="24" t="s">
        <v>603</v>
      </c>
      <c r="B4" s="26">
        <v>100</v>
      </c>
      <c r="C4" s="24" t="s">
        <v>604</v>
      </c>
      <c r="D4" s="24" t="s">
        <v>605</v>
      </c>
      <c r="E4" s="26">
        <v>55</v>
      </c>
      <c r="F4" s="25" t="s">
        <v>569</v>
      </c>
      <c r="G4" s="26">
        <f>(E4/B4)*2.20462</f>
        <v>1.2125410000000001</v>
      </c>
    </row>
    <row r="5" spans="1:7" ht="14.4">
      <c r="A5" s="24" t="s">
        <v>9</v>
      </c>
      <c r="B5" s="26">
        <v>40</v>
      </c>
      <c r="C5" s="24" t="s">
        <v>604</v>
      </c>
      <c r="D5" s="24" t="s">
        <v>606</v>
      </c>
      <c r="E5" s="26">
        <v>5</v>
      </c>
      <c r="F5" s="25" t="s">
        <v>546</v>
      </c>
      <c r="G5" s="26">
        <f>+(E5/B5)*2.20462</f>
        <v>0.27557749999999998</v>
      </c>
    </row>
    <row r="6" spans="1:7" ht="28.8">
      <c r="A6" s="24" t="s">
        <v>10</v>
      </c>
      <c r="B6" s="26">
        <v>1</v>
      </c>
      <c r="C6" s="24" t="s">
        <v>607</v>
      </c>
      <c r="D6" s="24" t="s">
        <v>608</v>
      </c>
      <c r="E6" s="26">
        <v>6.24</v>
      </c>
      <c r="F6" s="25" t="s">
        <v>547</v>
      </c>
      <c r="G6" s="26">
        <f>+E6</f>
        <v>6.24</v>
      </c>
    </row>
    <row r="7" spans="1:7" ht="14.4">
      <c r="A7" s="24" t="s">
        <v>11</v>
      </c>
      <c r="B7" s="26">
        <v>100</v>
      </c>
      <c r="C7" s="24" t="s">
        <v>604</v>
      </c>
      <c r="D7" s="24" t="s">
        <v>605</v>
      </c>
      <c r="E7" s="26">
        <v>32.5</v>
      </c>
      <c r="F7" s="25" t="s">
        <v>569</v>
      </c>
      <c r="G7" s="26">
        <f>(E7/B7)*2.20462</f>
        <v>0.71650150000000001</v>
      </c>
    </row>
    <row r="8" spans="1:7" ht="28.8">
      <c r="A8" s="24" t="s">
        <v>12</v>
      </c>
      <c r="B8" s="26">
        <v>1</v>
      </c>
      <c r="C8" s="24" t="s">
        <v>607</v>
      </c>
      <c r="D8" s="24" t="s">
        <v>608</v>
      </c>
      <c r="E8" s="26">
        <v>6.24</v>
      </c>
      <c r="F8" s="25" t="s">
        <v>547</v>
      </c>
      <c r="G8" s="26">
        <f t="shared" ref="G8:G9" si="0">+E8</f>
        <v>6.24</v>
      </c>
    </row>
    <row r="9" spans="1:7" ht="28.8">
      <c r="A9" s="24" t="s">
        <v>13</v>
      </c>
      <c r="B9" s="26">
        <v>1</v>
      </c>
      <c r="C9" s="24" t="s">
        <v>607</v>
      </c>
      <c r="D9" s="24" t="s">
        <v>608</v>
      </c>
      <c r="E9" s="26">
        <v>1.49</v>
      </c>
      <c r="F9" s="25" t="s">
        <v>552</v>
      </c>
      <c r="G9" s="26">
        <f t="shared" si="0"/>
        <v>1.49</v>
      </c>
    </row>
    <row r="10" spans="1:7" ht="14.4">
      <c r="A10" s="24" t="s">
        <v>15</v>
      </c>
      <c r="B10" s="26">
        <v>33</v>
      </c>
      <c r="C10" s="24" t="s">
        <v>604</v>
      </c>
      <c r="D10" s="24" t="s">
        <v>606</v>
      </c>
      <c r="E10" s="26">
        <v>20</v>
      </c>
      <c r="F10" s="25" t="s">
        <v>546</v>
      </c>
      <c r="G10" s="26">
        <f>+(E10/B10)*2.20462</f>
        <v>1.3361333333333332</v>
      </c>
    </row>
    <row r="11" spans="1:7" ht="14.4">
      <c r="A11" s="24" t="s">
        <v>16</v>
      </c>
      <c r="B11" s="26">
        <v>1</v>
      </c>
      <c r="C11" s="24" t="s">
        <v>607</v>
      </c>
      <c r="D11" s="24" t="s">
        <v>608</v>
      </c>
      <c r="E11" s="26">
        <v>1.84</v>
      </c>
      <c r="F11" s="25" t="s">
        <v>554</v>
      </c>
      <c r="G11" s="26">
        <f>+E11</f>
        <v>1.84</v>
      </c>
    </row>
    <row r="12" spans="1:7" ht="14.4">
      <c r="A12" s="24" t="s">
        <v>18</v>
      </c>
      <c r="B12" s="26">
        <v>100</v>
      </c>
      <c r="C12" s="24" t="s">
        <v>604</v>
      </c>
      <c r="D12" s="24" t="s">
        <v>605</v>
      </c>
      <c r="E12" s="26">
        <v>45</v>
      </c>
      <c r="F12" s="25" t="s">
        <v>562</v>
      </c>
      <c r="G12" s="26">
        <f>(E12/B12)*2.20462</f>
        <v>0.99207899999999993</v>
      </c>
    </row>
    <row r="13" spans="1:7" ht="14.4">
      <c r="A13" s="24" t="s">
        <v>19</v>
      </c>
      <c r="B13" s="26">
        <v>2.2000000000000002</v>
      </c>
      <c r="C13" s="24" t="s">
        <v>604</v>
      </c>
      <c r="D13" s="24" t="s">
        <v>608</v>
      </c>
      <c r="E13" s="26">
        <v>3</v>
      </c>
      <c r="F13" s="25" t="s">
        <v>548</v>
      </c>
      <c r="G13" s="26"/>
    </row>
    <row r="14" spans="1:7" ht="14.4">
      <c r="A14" s="24" t="s">
        <v>20</v>
      </c>
      <c r="B14" s="26">
        <v>400</v>
      </c>
      <c r="C14" s="24" t="s">
        <v>609</v>
      </c>
      <c r="D14" s="24" t="s">
        <v>610</v>
      </c>
      <c r="E14" s="26">
        <v>1</v>
      </c>
      <c r="F14" s="27" t="s">
        <v>549</v>
      </c>
      <c r="G14" s="26">
        <f>+(E14/B14)*1000</f>
        <v>2.5</v>
      </c>
    </row>
    <row r="15" spans="1:7" ht="14.4">
      <c r="A15" s="24" t="s">
        <v>22</v>
      </c>
      <c r="B15" s="26">
        <v>100</v>
      </c>
      <c r="C15" s="24" t="s">
        <v>604</v>
      </c>
      <c r="D15" s="24" t="s">
        <v>605</v>
      </c>
      <c r="E15" s="26">
        <v>150</v>
      </c>
      <c r="F15" s="25" t="s">
        <v>550</v>
      </c>
      <c r="G15" s="26">
        <f>(E15/B15)*2.20462</f>
        <v>3.3069299999999995</v>
      </c>
    </row>
    <row r="16" spans="1:7" ht="28.8">
      <c r="A16" s="24" t="s">
        <v>23</v>
      </c>
      <c r="B16" s="26">
        <v>1</v>
      </c>
      <c r="C16" s="24" t="s">
        <v>607</v>
      </c>
      <c r="D16" s="24" t="s">
        <v>608</v>
      </c>
      <c r="E16" s="26">
        <v>6.24</v>
      </c>
      <c r="F16" s="25" t="s">
        <v>547</v>
      </c>
      <c r="G16" s="26">
        <f t="shared" ref="G16:G17" si="1">+E16</f>
        <v>6.24</v>
      </c>
    </row>
    <row r="17" spans="1:7" ht="28.8">
      <c r="A17" s="24" t="s">
        <v>24</v>
      </c>
      <c r="B17" s="26">
        <v>1</v>
      </c>
      <c r="C17" s="24" t="s">
        <v>607</v>
      </c>
      <c r="D17" s="24" t="s">
        <v>608</v>
      </c>
      <c r="E17" s="26">
        <v>6.24</v>
      </c>
      <c r="F17" s="25" t="s">
        <v>547</v>
      </c>
      <c r="G17" s="26">
        <f t="shared" si="1"/>
        <v>6.24</v>
      </c>
    </row>
    <row r="18" spans="1:7" ht="14.4">
      <c r="A18" s="24" t="s">
        <v>25</v>
      </c>
      <c r="B18" s="26">
        <v>22</v>
      </c>
      <c r="C18" s="24" t="s">
        <v>604</v>
      </c>
      <c r="D18" s="24"/>
      <c r="E18" s="26">
        <v>2</v>
      </c>
      <c r="F18" s="25" t="s">
        <v>546</v>
      </c>
      <c r="G18" s="26">
        <v>0.20041999999999999</v>
      </c>
    </row>
    <row r="19" spans="1:7" ht="14.4">
      <c r="A19" s="24" t="s">
        <v>28</v>
      </c>
      <c r="B19" s="26"/>
      <c r="C19" s="24"/>
      <c r="D19" s="24"/>
      <c r="E19" s="26"/>
      <c r="F19" s="25"/>
      <c r="G19" s="26"/>
    </row>
    <row r="20" spans="1:7" ht="14.4">
      <c r="A20" s="24" t="s">
        <v>29</v>
      </c>
      <c r="B20" s="26">
        <v>35</v>
      </c>
      <c r="C20" s="24" t="s">
        <v>607</v>
      </c>
      <c r="D20" s="24" t="s">
        <v>611</v>
      </c>
      <c r="E20" s="26">
        <v>5.75</v>
      </c>
      <c r="F20" s="27" t="s">
        <v>569</v>
      </c>
      <c r="G20" s="26">
        <f>+E20/B20</f>
        <v>0.16428571428571428</v>
      </c>
    </row>
    <row r="21" spans="1:7" ht="15.75" customHeight="1">
      <c r="A21" s="24" t="s">
        <v>30</v>
      </c>
      <c r="B21" s="26"/>
      <c r="C21" s="24"/>
      <c r="D21" s="24"/>
      <c r="E21" s="26"/>
      <c r="F21" s="25"/>
      <c r="G21" s="26"/>
    </row>
    <row r="22" spans="1:7" ht="15.75" customHeight="1">
      <c r="A22" s="24" t="s">
        <v>32</v>
      </c>
      <c r="B22" s="26">
        <v>1</v>
      </c>
      <c r="C22" s="24" t="s">
        <v>607</v>
      </c>
      <c r="D22" s="24" t="s">
        <v>608</v>
      </c>
      <c r="E22" s="26">
        <v>0.35</v>
      </c>
      <c r="F22" s="25" t="s">
        <v>551</v>
      </c>
      <c r="G22" s="26">
        <f>+E22</f>
        <v>0.35</v>
      </c>
    </row>
    <row r="23" spans="1:7" ht="15.75" customHeight="1">
      <c r="A23" s="24" t="s">
        <v>44</v>
      </c>
      <c r="B23" s="26"/>
      <c r="C23" s="24"/>
      <c r="D23" s="24"/>
      <c r="E23" s="26"/>
      <c r="F23" s="25"/>
      <c r="G23" s="26"/>
    </row>
    <row r="24" spans="1:7" ht="15.75" customHeight="1">
      <c r="A24" s="24" t="s">
        <v>46</v>
      </c>
      <c r="B24" s="26">
        <v>1</v>
      </c>
      <c r="C24" s="24" t="s">
        <v>607</v>
      </c>
      <c r="D24" s="24" t="s">
        <v>608</v>
      </c>
      <c r="E24" s="26">
        <v>1.1000000000000001</v>
      </c>
      <c r="F24" s="25" t="s">
        <v>552</v>
      </c>
      <c r="G24" s="26">
        <f>+E24</f>
        <v>1.1000000000000001</v>
      </c>
    </row>
    <row r="25" spans="1:7" ht="15.75" customHeight="1">
      <c r="A25" s="24" t="s">
        <v>48</v>
      </c>
      <c r="B25" s="26">
        <v>100</v>
      </c>
      <c r="C25" s="24" t="s">
        <v>604</v>
      </c>
      <c r="D25" s="24" t="s">
        <v>605</v>
      </c>
      <c r="E25" s="26">
        <v>43.67</v>
      </c>
      <c r="F25" s="25" t="s">
        <v>553</v>
      </c>
      <c r="G25" s="26">
        <f>(E25/B25)*2.20462</f>
        <v>0.96275755399999996</v>
      </c>
    </row>
    <row r="26" spans="1:7" ht="15.75" customHeight="1">
      <c r="A26" s="24" t="s">
        <v>50</v>
      </c>
      <c r="B26" s="26">
        <v>60</v>
      </c>
      <c r="C26" s="24" t="s">
        <v>604</v>
      </c>
      <c r="D26" s="24" t="s">
        <v>606</v>
      </c>
      <c r="E26" s="26">
        <v>18</v>
      </c>
      <c r="F26" s="25" t="s">
        <v>553</v>
      </c>
      <c r="G26" s="26">
        <f>+(E26/B26)*2.20462</f>
        <v>0.66138599999999992</v>
      </c>
    </row>
    <row r="27" spans="1:7" ht="15.75" customHeight="1">
      <c r="A27" s="24" t="s">
        <v>52</v>
      </c>
      <c r="B27" s="26">
        <v>1</v>
      </c>
      <c r="C27" s="24" t="s">
        <v>607</v>
      </c>
      <c r="D27" s="24" t="s">
        <v>608</v>
      </c>
      <c r="E27" s="26">
        <v>1.1599999999999999</v>
      </c>
      <c r="F27" s="25" t="s">
        <v>552</v>
      </c>
      <c r="G27" s="26">
        <f>+E27</f>
        <v>1.1599999999999999</v>
      </c>
    </row>
    <row r="28" spans="1:7" ht="15.75" customHeight="1">
      <c r="A28" s="24" t="s">
        <v>55</v>
      </c>
      <c r="B28" s="26" t="s">
        <v>612</v>
      </c>
      <c r="C28" s="24"/>
      <c r="D28" s="24"/>
      <c r="E28" s="26"/>
      <c r="F28" s="25"/>
      <c r="G28" s="26"/>
    </row>
    <row r="29" spans="1:7" ht="15.75" customHeight="1">
      <c r="A29" s="24" t="s">
        <v>56</v>
      </c>
      <c r="B29" s="26">
        <v>1</v>
      </c>
      <c r="C29" s="24" t="s">
        <v>607</v>
      </c>
      <c r="D29" s="24" t="s">
        <v>608</v>
      </c>
      <c r="E29" s="26">
        <v>4.4400000000000004</v>
      </c>
      <c r="F29" s="25" t="s">
        <v>547</v>
      </c>
      <c r="G29" s="26">
        <f t="shared" ref="G29:G31" si="2">+E29</f>
        <v>4.4400000000000004</v>
      </c>
    </row>
    <row r="30" spans="1:7" ht="15.75" customHeight="1">
      <c r="A30" s="24" t="s">
        <v>57</v>
      </c>
      <c r="B30" s="26">
        <v>1</v>
      </c>
      <c r="C30" s="24" t="s">
        <v>607</v>
      </c>
      <c r="D30" s="24" t="s">
        <v>608</v>
      </c>
      <c r="E30" s="26">
        <v>4.75</v>
      </c>
      <c r="F30" s="25" t="s">
        <v>547</v>
      </c>
      <c r="G30" s="26">
        <f t="shared" si="2"/>
        <v>4.75</v>
      </c>
    </row>
    <row r="31" spans="1:7" ht="15.75" customHeight="1">
      <c r="A31" s="24" t="s">
        <v>58</v>
      </c>
      <c r="B31" s="26">
        <v>1</v>
      </c>
      <c r="C31" s="24" t="s">
        <v>607</v>
      </c>
      <c r="D31" s="24" t="s">
        <v>608</v>
      </c>
      <c r="E31" s="26">
        <v>0.98</v>
      </c>
      <c r="F31" s="25" t="s">
        <v>552</v>
      </c>
      <c r="G31" s="26">
        <f t="shared" si="2"/>
        <v>0.98</v>
      </c>
    </row>
    <row r="32" spans="1:7" ht="15.75" customHeight="1">
      <c r="A32" s="24" t="s">
        <v>59</v>
      </c>
      <c r="B32" s="26">
        <v>50</v>
      </c>
      <c r="C32" s="24" t="s">
        <v>604</v>
      </c>
      <c r="D32" s="24" t="s">
        <v>606</v>
      </c>
      <c r="E32" s="26">
        <v>24</v>
      </c>
      <c r="F32" s="25" t="s">
        <v>553</v>
      </c>
      <c r="G32" s="26">
        <f>+(E32/B32)*2.20462</f>
        <v>1.0582175999999999</v>
      </c>
    </row>
    <row r="33" spans="1:8" ht="15.75" customHeight="1">
      <c r="A33" s="24" t="s">
        <v>60</v>
      </c>
      <c r="B33" s="26"/>
      <c r="C33" s="24"/>
      <c r="D33" s="24"/>
      <c r="E33" s="26"/>
      <c r="F33" s="25"/>
      <c r="G33" s="26"/>
    </row>
    <row r="34" spans="1:8" ht="15.75" customHeight="1">
      <c r="A34" s="24" t="s">
        <v>63</v>
      </c>
      <c r="B34" s="26" t="s">
        <v>612</v>
      </c>
      <c r="C34" s="24"/>
      <c r="D34" s="24"/>
      <c r="E34" s="26"/>
      <c r="F34" s="25"/>
      <c r="G34" s="26"/>
    </row>
    <row r="35" spans="1:8" ht="15.75" customHeight="1">
      <c r="A35" s="24" t="s">
        <v>68</v>
      </c>
      <c r="B35" s="26">
        <v>1</v>
      </c>
      <c r="C35" s="24" t="s">
        <v>607</v>
      </c>
      <c r="D35" s="24" t="s">
        <v>608</v>
      </c>
      <c r="E35" s="26">
        <v>0.56162968512968503</v>
      </c>
      <c r="F35" s="25" t="s">
        <v>613</v>
      </c>
      <c r="G35" s="26">
        <f t="shared" ref="G35:G38" si="3">+E35</f>
        <v>0.56162968512968503</v>
      </c>
    </row>
    <row r="36" spans="1:8" ht="15.75" customHeight="1">
      <c r="A36" s="24" t="s">
        <v>69</v>
      </c>
      <c r="B36" s="26">
        <v>1</v>
      </c>
      <c r="C36" s="24" t="s">
        <v>607</v>
      </c>
      <c r="D36" s="24" t="s">
        <v>608</v>
      </c>
      <c r="E36" s="26">
        <v>0.47</v>
      </c>
      <c r="F36" s="25" t="s">
        <v>554</v>
      </c>
      <c r="G36" s="26">
        <f t="shared" si="3"/>
        <v>0.47</v>
      </c>
    </row>
    <row r="37" spans="1:8" ht="15.75" customHeight="1">
      <c r="A37" s="24" t="s">
        <v>71</v>
      </c>
      <c r="B37" s="26">
        <v>1</v>
      </c>
      <c r="C37" s="24" t="s">
        <v>614</v>
      </c>
      <c r="D37" s="24" t="s">
        <v>615</v>
      </c>
      <c r="E37" s="26">
        <v>0.4</v>
      </c>
      <c r="F37" s="25" t="s">
        <v>555</v>
      </c>
      <c r="G37" s="26">
        <f t="shared" si="3"/>
        <v>0.4</v>
      </c>
      <c r="H37" s="2" t="s">
        <v>616</v>
      </c>
    </row>
    <row r="38" spans="1:8" ht="15.75" customHeight="1">
      <c r="A38" s="24" t="s">
        <v>77</v>
      </c>
      <c r="B38" s="26">
        <v>1</v>
      </c>
      <c r="C38" s="24" t="s">
        <v>607</v>
      </c>
      <c r="D38" s="24" t="s">
        <v>608</v>
      </c>
      <c r="E38" s="26">
        <v>0.93</v>
      </c>
      <c r="F38" s="25" t="s">
        <v>556</v>
      </c>
      <c r="G38" s="26">
        <f t="shared" si="3"/>
        <v>0.93</v>
      </c>
    </row>
    <row r="39" spans="1:8" ht="15.75" customHeight="1">
      <c r="A39" s="24" t="s">
        <v>78</v>
      </c>
      <c r="B39" s="26">
        <v>43</v>
      </c>
      <c r="C39" s="24" t="s">
        <v>604</v>
      </c>
      <c r="D39" s="24" t="s">
        <v>617</v>
      </c>
      <c r="E39" s="26">
        <v>7.63</v>
      </c>
      <c r="F39" s="25" t="s">
        <v>557</v>
      </c>
      <c r="G39" s="26">
        <f>+(E39/B39)*2.20462</f>
        <v>0.39119187441860465</v>
      </c>
    </row>
    <row r="40" spans="1:8" ht="15.75" customHeight="1">
      <c r="A40" s="24" t="s">
        <v>80</v>
      </c>
      <c r="B40" s="26"/>
      <c r="C40" s="24"/>
      <c r="D40" s="24"/>
      <c r="E40" s="26"/>
      <c r="F40" s="25"/>
      <c r="G40" s="26"/>
    </row>
    <row r="41" spans="1:8" ht="15.75" customHeight="1">
      <c r="A41" s="24" t="s">
        <v>82</v>
      </c>
      <c r="B41" s="26">
        <v>740</v>
      </c>
      <c r="C41" s="24" t="s">
        <v>609</v>
      </c>
      <c r="D41" s="24" t="s">
        <v>600</v>
      </c>
      <c r="E41" s="26">
        <v>2.25</v>
      </c>
      <c r="F41" s="25" t="s">
        <v>569</v>
      </c>
      <c r="G41" s="26">
        <f>+(E41/B41)*1000</f>
        <v>3.0405405405405408</v>
      </c>
    </row>
    <row r="42" spans="1:8" ht="15.75" customHeight="1">
      <c r="A42" s="24" t="s">
        <v>83</v>
      </c>
      <c r="B42" s="26">
        <v>1</v>
      </c>
      <c r="C42" s="24" t="s">
        <v>614</v>
      </c>
      <c r="D42" s="24" t="s">
        <v>614</v>
      </c>
      <c r="E42" s="26">
        <v>146.41999999999999</v>
      </c>
      <c r="F42" s="25" t="s">
        <v>558</v>
      </c>
      <c r="G42" s="26">
        <f t="shared" ref="G42:G47" si="4">+E42</f>
        <v>146.41999999999999</v>
      </c>
      <c r="H42" s="2" t="s">
        <v>616</v>
      </c>
    </row>
    <row r="43" spans="1:8" ht="15.75" customHeight="1">
      <c r="A43" s="24" t="s">
        <v>84</v>
      </c>
      <c r="B43" s="26">
        <v>1</v>
      </c>
      <c r="C43" s="24" t="s">
        <v>607</v>
      </c>
      <c r="D43" s="24" t="s">
        <v>608</v>
      </c>
      <c r="E43" s="26">
        <v>3.3631759259259302</v>
      </c>
      <c r="F43" s="25" t="s">
        <v>613</v>
      </c>
      <c r="G43" s="26">
        <f t="shared" si="4"/>
        <v>3.3631759259259302</v>
      </c>
    </row>
    <row r="44" spans="1:8" ht="15.75" customHeight="1">
      <c r="A44" s="24" t="s">
        <v>86</v>
      </c>
      <c r="B44" s="26">
        <v>1</v>
      </c>
      <c r="C44" s="24" t="s">
        <v>607</v>
      </c>
      <c r="D44" s="24" t="s">
        <v>608</v>
      </c>
      <c r="E44" s="26">
        <v>1.7885833333333301</v>
      </c>
      <c r="F44" s="25" t="s">
        <v>613</v>
      </c>
      <c r="G44" s="26">
        <f t="shared" si="4"/>
        <v>1.7885833333333301</v>
      </c>
    </row>
    <row r="45" spans="1:8" ht="15.75" customHeight="1">
      <c r="A45" s="24" t="s">
        <v>87</v>
      </c>
      <c r="B45" s="26">
        <v>1</v>
      </c>
      <c r="C45" s="24" t="s">
        <v>607</v>
      </c>
      <c r="D45" s="24" t="s">
        <v>608</v>
      </c>
      <c r="E45" s="26">
        <v>1.7789666666666699</v>
      </c>
      <c r="F45" s="25" t="s">
        <v>613</v>
      </c>
      <c r="G45" s="26">
        <f t="shared" si="4"/>
        <v>1.7789666666666699</v>
      </c>
    </row>
    <row r="46" spans="1:8" ht="15.75" customHeight="1">
      <c r="A46" s="24" t="s">
        <v>88</v>
      </c>
      <c r="B46" s="26">
        <v>1</v>
      </c>
      <c r="C46" s="24" t="s">
        <v>607</v>
      </c>
      <c r="D46" s="24" t="s">
        <v>608</v>
      </c>
      <c r="E46" s="26">
        <v>1.4522333333333299</v>
      </c>
      <c r="F46" s="25" t="s">
        <v>613</v>
      </c>
      <c r="G46" s="26">
        <f t="shared" si="4"/>
        <v>1.4522333333333299</v>
      </c>
    </row>
    <row r="47" spans="1:8" ht="15.75" customHeight="1">
      <c r="A47" s="24" t="s">
        <v>89</v>
      </c>
      <c r="B47" s="26">
        <v>1</v>
      </c>
      <c r="C47" s="24" t="s">
        <v>607</v>
      </c>
      <c r="D47" s="24" t="s">
        <v>608</v>
      </c>
      <c r="E47" s="26">
        <v>1.5459333333333301</v>
      </c>
      <c r="F47" s="25" t="s">
        <v>613</v>
      </c>
      <c r="G47" s="26">
        <f t="shared" si="4"/>
        <v>1.5459333333333301</v>
      </c>
    </row>
    <row r="48" spans="1:8" ht="15.75" customHeight="1">
      <c r="A48" s="24" t="s">
        <v>90</v>
      </c>
      <c r="B48" s="26"/>
      <c r="C48" s="24"/>
      <c r="D48" s="24"/>
      <c r="E48" s="26"/>
      <c r="F48" s="25"/>
      <c r="G48" s="26"/>
    </row>
    <row r="49" spans="1:8" ht="15.75" customHeight="1">
      <c r="A49" s="24" t="s">
        <v>92</v>
      </c>
      <c r="B49" s="26">
        <v>2.2000000000000002</v>
      </c>
      <c r="C49" s="24" t="s">
        <v>604</v>
      </c>
      <c r="D49" s="24" t="s">
        <v>608</v>
      </c>
      <c r="E49" s="26">
        <v>0.51</v>
      </c>
      <c r="F49" s="25" t="s">
        <v>618</v>
      </c>
      <c r="G49" s="26"/>
    </row>
    <row r="50" spans="1:8" ht="15.75" customHeight="1">
      <c r="A50" s="24" t="s">
        <v>93</v>
      </c>
      <c r="B50" s="26">
        <v>1</v>
      </c>
      <c r="C50" s="24" t="s">
        <v>607</v>
      </c>
      <c r="D50" s="24" t="s">
        <v>608</v>
      </c>
      <c r="E50" s="26">
        <v>0.544269314019314</v>
      </c>
      <c r="F50" s="25" t="s">
        <v>613</v>
      </c>
      <c r="G50" s="26">
        <f>+E50</f>
        <v>0.544269314019314</v>
      </c>
    </row>
    <row r="51" spans="1:8" ht="15.75" customHeight="1">
      <c r="A51" s="24" t="s">
        <v>94</v>
      </c>
      <c r="B51" s="26" t="s">
        <v>612</v>
      </c>
      <c r="C51" s="24"/>
      <c r="D51" s="24"/>
      <c r="E51" s="26"/>
      <c r="F51" s="25"/>
      <c r="G51" s="26"/>
    </row>
    <row r="52" spans="1:8" ht="15.75" customHeight="1">
      <c r="A52" s="24" t="s">
        <v>96</v>
      </c>
      <c r="B52" s="26" t="s">
        <v>619</v>
      </c>
      <c r="C52" s="24" t="s">
        <v>620</v>
      </c>
      <c r="D52" s="24" t="s">
        <v>621</v>
      </c>
      <c r="E52" s="26">
        <v>10.99</v>
      </c>
      <c r="F52" s="25" t="s">
        <v>622</v>
      </c>
      <c r="G52" s="26">
        <f>+E52</f>
        <v>10.99</v>
      </c>
      <c r="H52" s="2" t="s">
        <v>616</v>
      </c>
    </row>
    <row r="53" spans="1:8" ht="15.75" customHeight="1">
      <c r="A53" s="24" t="s">
        <v>98</v>
      </c>
      <c r="B53" s="26">
        <v>100</v>
      </c>
      <c r="C53" s="24" t="s">
        <v>604</v>
      </c>
      <c r="D53" s="24" t="s">
        <v>605</v>
      </c>
      <c r="E53" s="26">
        <v>73.239999999999995</v>
      </c>
      <c r="F53" s="25" t="s">
        <v>557</v>
      </c>
      <c r="G53" s="26">
        <f>(E53/B53)*2.20462</f>
        <v>1.6146636879999998</v>
      </c>
    </row>
    <row r="54" spans="1:8" ht="15.75" customHeight="1">
      <c r="A54" s="24" t="s">
        <v>100</v>
      </c>
      <c r="B54" s="26">
        <v>1</v>
      </c>
      <c r="C54" s="24" t="s">
        <v>607</v>
      </c>
      <c r="D54" s="24" t="s">
        <v>608</v>
      </c>
      <c r="E54" s="26">
        <v>1.9739</v>
      </c>
      <c r="F54" s="25" t="s">
        <v>551</v>
      </c>
      <c r="G54" s="26">
        <f t="shared" ref="G54:G60" si="5">+E54</f>
        <v>1.9739</v>
      </c>
    </row>
    <row r="55" spans="1:8" ht="15.75" customHeight="1">
      <c r="A55" s="24" t="s">
        <v>101</v>
      </c>
      <c r="B55" s="26">
        <v>1</v>
      </c>
      <c r="C55" s="24" t="s">
        <v>607</v>
      </c>
      <c r="D55" s="24" t="s">
        <v>608</v>
      </c>
      <c r="E55" s="26">
        <v>2.0661999999999998</v>
      </c>
      <c r="F55" s="25" t="s">
        <v>551</v>
      </c>
      <c r="G55" s="26">
        <f t="shared" si="5"/>
        <v>2.0661999999999998</v>
      </c>
    </row>
    <row r="56" spans="1:8" ht="15.75" customHeight="1">
      <c r="A56" s="24" t="s">
        <v>104</v>
      </c>
      <c r="B56" s="26">
        <v>1</v>
      </c>
      <c r="C56" s="24" t="s">
        <v>607</v>
      </c>
      <c r="D56" s="24" t="s">
        <v>608</v>
      </c>
      <c r="E56" s="26">
        <v>0.70840000000000003</v>
      </c>
      <c r="F56" s="25" t="s">
        <v>551</v>
      </c>
      <c r="G56" s="26">
        <f t="shared" si="5"/>
        <v>0.70840000000000003</v>
      </c>
    </row>
    <row r="57" spans="1:8" ht="15.75" customHeight="1">
      <c r="A57" s="24" t="s">
        <v>105</v>
      </c>
      <c r="B57" s="26">
        <v>1</v>
      </c>
      <c r="C57" s="24" t="s">
        <v>607</v>
      </c>
      <c r="D57" s="24" t="s">
        <v>608</v>
      </c>
      <c r="E57" s="26">
        <v>2.0981000000000001</v>
      </c>
      <c r="F57" s="25" t="s">
        <v>559</v>
      </c>
      <c r="G57" s="26">
        <f t="shared" si="5"/>
        <v>2.0981000000000001</v>
      </c>
    </row>
    <row r="58" spans="1:8" ht="15.75" customHeight="1">
      <c r="A58" s="24" t="s">
        <v>109</v>
      </c>
      <c r="B58" s="26">
        <v>1</v>
      </c>
      <c r="C58" s="24" t="s">
        <v>607</v>
      </c>
      <c r="D58" s="24" t="s">
        <v>608</v>
      </c>
      <c r="E58" s="26">
        <v>0.67</v>
      </c>
      <c r="F58" s="25" t="s">
        <v>551</v>
      </c>
      <c r="G58" s="26">
        <f t="shared" si="5"/>
        <v>0.67</v>
      </c>
    </row>
    <row r="59" spans="1:8" ht="15.75" customHeight="1">
      <c r="A59" s="24" t="s">
        <v>110</v>
      </c>
      <c r="B59" s="26">
        <v>1</v>
      </c>
      <c r="C59" s="24" t="s">
        <v>607</v>
      </c>
      <c r="D59" s="24" t="s">
        <v>608</v>
      </c>
      <c r="E59" s="26">
        <v>0.57379999999999998</v>
      </c>
      <c r="F59" s="25" t="s">
        <v>551</v>
      </c>
      <c r="G59" s="26">
        <f t="shared" si="5"/>
        <v>0.57379999999999998</v>
      </c>
    </row>
    <row r="60" spans="1:8" ht="15.75" customHeight="1">
      <c r="A60" s="24" t="s">
        <v>112</v>
      </c>
      <c r="B60" s="26">
        <v>1</v>
      </c>
      <c r="C60" s="24" t="s">
        <v>607</v>
      </c>
      <c r="D60" s="24" t="s">
        <v>608</v>
      </c>
      <c r="E60" s="26"/>
      <c r="F60" s="25"/>
      <c r="G60" s="26">
        <f t="shared" si="5"/>
        <v>0</v>
      </c>
    </row>
    <row r="61" spans="1:8" ht="15.75" customHeight="1">
      <c r="A61" s="24" t="s">
        <v>113</v>
      </c>
      <c r="B61" s="26">
        <v>100</v>
      </c>
      <c r="C61" s="24" t="s">
        <v>604</v>
      </c>
      <c r="D61" s="24" t="s">
        <v>605</v>
      </c>
      <c r="E61" s="26">
        <v>89.5</v>
      </c>
      <c r="F61" s="25" t="s">
        <v>560</v>
      </c>
      <c r="G61" s="26">
        <f>(E61/B61)*2.20462</f>
        <v>1.9731348999999998</v>
      </c>
    </row>
    <row r="62" spans="1:8" ht="15.75" customHeight="1">
      <c r="A62" s="24" t="s">
        <v>114</v>
      </c>
      <c r="B62" s="26">
        <v>1</v>
      </c>
      <c r="C62" s="24" t="s">
        <v>607</v>
      </c>
      <c r="D62" s="24" t="s">
        <v>608</v>
      </c>
      <c r="E62" s="26">
        <v>4.5599999999999996</v>
      </c>
      <c r="F62" s="25" t="s">
        <v>551</v>
      </c>
      <c r="G62" s="26">
        <f>+E62</f>
        <v>4.5599999999999996</v>
      </c>
    </row>
    <row r="63" spans="1:8" ht="15.75" customHeight="1">
      <c r="A63" s="24" t="s">
        <v>115</v>
      </c>
      <c r="B63" s="26">
        <v>125</v>
      </c>
      <c r="C63" s="24" t="s">
        <v>604</v>
      </c>
      <c r="D63" s="24" t="s">
        <v>606</v>
      </c>
      <c r="E63" s="26">
        <v>196.65</v>
      </c>
      <c r="F63" s="25" t="s">
        <v>561</v>
      </c>
      <c r="G63" s="26">
        <f>+(E63/B63)*2.20462</f>
        <v>3.4683081840000001</v>
      </c>
    </row>
    <row r="64" spans="1:8" ht="15.75" customHeight="1">
      <c r="A64" s="24" t="s">
        <v>116</v>
      </c>
      <c r="B64" s="26">
        <v>1</v>
      </c>
      <c r="C64" s="24" t="s">
        <v>607</v>
      </c>
      <c r="D64" s="24" t="s">
        <v>608</v>
      </c>
      <c r="E64" s="26">
        <v>3.45</v>
      </c>
      <c r="F64" s="25" t="s">
        <v>551</v>
      </c>
      <c r="G64" s="26">
        <f t="shared" ref="G64:G66" si="6">+E64</f>
        <v>3.45</v>
      </c>
    </row>
    <row r="65" spans="1:7" ht="15.75" customHeight="1">
      <c r="A65" s="24" t="s">
        <v>121</v>
      </c>
      <c r="B65" s="26">
        <v>1</v>
      </c>
      <c r="C65" s="24" t="s">
        <v>607</v>
      </c>
      <c r="D65" s="24" t="s">
        <v>608</v>
      </c>
      <c r="E65" s="26"/>
      <c r="F65" s="25"/>
      <c r="G65" s="26">
        <f t="shared" si="6"/>
        <v>0</v>
      </c>
    </row>
    <row r="66" spans="1:7" ht="15.75" customHeight="1">
      <c r="A66" s="24" t="s">
        <v>122</v>
      </c>
      <c r="B66" s="26">
        <v>1</v>
      </c>
      <c r="C66" s="24" t="s">
        <v>607</v>
      </c>
      <c r="D66" s="24" t="s">
        <v>608</v>
      </c>
      <c r="E66" s="26">
        <v>1.2813000000000001</v>
      </c>
      <c r="F66" s="25" t="s">
        <v>551</v>
      </c>
      <c r="G66" s="26">
        <f t="shared" si="6"/>
        <v>1.2813000000000001</v>
      </c>
    </row>
    <row r="67" spans="1:7" ht="15.75" customHeight="1">
      <c r="A67" s="24" t="s">
        <v>123</v>
      </c>
      <c r="B67" s="26">
        <v>100</v>
      </c>
      <c r="C67" s="24" t="s">
        <v>604</v>
      </c>
      <c r="D67" s="24" t="s">
        <v>605</v>
      </c>
      <c r="E67" s="26">
        <v>58.36</v>
      </c>
      <c r="F67" s="25" t="s">
        <v>561</v>
      </c>
      <c r="G67" s="26">
        <f>(E67/B67)*2.20462</f>
        <v>1.2866162319999999</v>
      </c>
    </row>
    <row r="68" spans="1:7" ht="15.75" customHeight="1">
      <c r="A68" s="24" t="s">
        <v>127</v>
      </c>
      <c r="B68" s="26" t="s">
        <v>612</v>
      </c>
      <c r="C68" s="24"/>
      <c r="D68" s="24"/>
      <c r="E68" s="26"/>
      <c r="F68" s="25"/>
      <c r="G68" s="26"/>
    </row>
    <row r="69" spans="1:7" ht="15.75" customHeight="1">
      <c r="A69" s="24" t="s">
        <v>129</v>
      </c>
      <c r="B69" s="26">
        <v>100</v>
      </c>
      <c r="C69" s="24" t="s">
        <v>604</v>
      </c>
      <c r="D69" s="24" t="s">
        <v>605</v>
      </c>
      <c r="E69" s="26">
        <v>17.5</v>
      </c>
      <c r="F69" s="25" t="s">
        <v>562</v>
      </c>
      <c r="G69" s="26">
        <f>(E69/B69)*2.20462</f>
        <v>0.38580849999999994</v>
      </c>
    </row>
    <row r="70" spans="1:7" ht="15.75" customHeight="1">
      <c r="A70" s="24" t="s">
        <v>130</v>
      </c>
      <c r="B70" s="26">
        <v>1</v>
      </c>
      <c r="C70" s="24" t="s">
        <v>623</v>
      </c>
      <c r="D70" s="24" t="s">
        <v>624</v>
      </c>
      <c r="E70" s="26">
        <v>30.4</v>
      </c>
      <c r="F70" s="25" t="s">
        <v>557</v>
      </c>
      <c r="G70" s="26">
        <f>+E70/1000</f>
        <v>3.04E-2</v>
      </c>
    </row>
    <row r="71" spans="1:7" ht="15.75" customHeight="1">
      <c r="A71" s="24" t="s">
        <v>131</v>
      </c>
      <c r="B71" s="26">
        <v>100</v>
      </c>
      <c r="C71" s="24" t="s">
        <v>604</v>
      </c>
      <c r="D71" s="24" t="s">
        <v>605</v>
      </c>
      <c r="E71" s="26">
        <v>76.25</v>
      </c>
      <c r="F71" s="25" t="s">
        <v>562</v>
      </c>
      <c r="G71" s="26">
        <f>(E71/B71)*2.20462</f>
        <v>1.6810227499999997</v>
      </c>
    </row>
    <row r="72" spans="1:7" ht="15.75" customHeight="1">
      <c r="A72" s="24" t="s">
        <v>132</v>
      </c>
      <c r="B72" s="26">
        <v>1</v>
      </c>
      <c r="C72" s="24" t="s">
        <v>623</v>
      </c>
      <c r="D72" s="24" t="s">
        <v>624</v>
      </c>
      <c r="E72" s="26">
        <v>205</v>
      </c>
      <c r="F72" s="25" t="s">
        <v>562</v>
      </c>
      <c r="G72" s="26">
        <f t="shared" ref="G72:G75" si="7">+E72/1000</f>
        <v>0.20499999999999999</v>
      </c>
    </row>
    <row r="73" spans="1:7" ht="15.75" customHeight="1">
      <c r="A73" s="24" t="s">
        <v>135</v>
      </c>
      <c r="B73" s="26">
        <v>1</v>
      </c>
      <c r="C73" s="24" t="s">
        <v>623</v>
      </c>
      <c r="D73" s="24" t="s">
        <v>624</v>
      </c>
      <c r="E73" s="26">
        <v>205</v>
      </c>
      <c r="F73" s="25" t="s">
        <v>562</v>
      </c>
      <c r="G73" s="26">
        <f t="shared" si="7"/>
        <v>0.20499999999999999</v>
      </c>
    </row>
    <row r="74" spans="1:7" ht="15.75" customHeight="1">
      <c r="A74" s="24" t="s">
        <v>136</v>
      </c>
      <c r="B74" s="26">
        <v>1</v>
      </c>
      <c r="C74" s="24" t="s">
        <v>623</v>
      </c>
      <c r="D74" s="24" t="s">
        <v>624</v>
      </c>
      <c r="E74" s="26">
        <v>205</v>
      </c>
      <c r="F74" s="25" t="s">
        <v>562</v>
      </c>
      <c r="G74" s="26">
        <f t="shared" si="7"/>
        <v>0.20499999999999999</v>
      </c>
    </row>
    <row r="75" spans="1:7" ht="15.75" customHeight="1">
      <c r="A75" s="24" t="s">
        <v>139</v>
      </c>
      <c r="B75" s="26">
        <v>1</v>
      </c>
      <c r="C75" s="24" t="s">
        <v>623</v>
      </c>
      <c r="D75" s="24" t="s">
        <v>624</v>
      </c>
      <c r="E75" s="26">
        <v>35.049999999999997</v>
      </c>
      <c r="F75" s="25" t="s">
        <v>563</v>
      </c>
      <c r="G75" s="26">
        <f t="shared" si="7"/>
        <v>3.5049999999999998E-2</v>
      </c>
    </row>
    <row r="76" spans="1:7" ht="15.75" customHeight="1">
      <c r="A76" s="24" t="s">
        <v>140</v>
      </c>
      <c r="B76" s="26">
        <v>1</v>
      </c>
      <c r="C76" s="24" t="s">
        <v>607</v>
      </c>
      <c r="D76" s="24" t="s">
        <v>608</v>
      </c>
      <c r="E76" s="26">
        <v>6.7796000000000003</v>
      </c>
      <c r="F76" s="25" t="s">
        <v>564</v>
      </c>
      <c r="G76" s="26">
        <f t="shared" ref="G76:G78" si="8">+E76</f>
        <v>6.7796000000000003</v>
      </c>
    </row>
    <row r="77" spans="1:7" ht="15.75" customHeight="1">
      <c r="A77" s="24" t="s">
        <v>141</v>
      </c>
      <c r="B77" s="26">
        <v>1</v>
      </c>
      <c r="C77" s="24" t="s">
        <v>607</v>
      </c>
      <c r="D77" s="24" t="s">
        <v>608</v>
      </c>
      <c r="E77" s="26">
        <v>2.38</v>
      </c>
      <c r="F77" s="25" t="s">
        <v>565</v>
      </c>
      <c r="G77" s="26">
        <f t="shared" si="8"/>
        <v>2.38</v>
      </c>
    </row>
    <row r="78" spans="1:7" ht="15.75" customHeight="1">
      <c r="A78" s="24" t="s">
        <v>142</v>
      </c>
      <c r="B78" s="26">
        <v>1</v>
      </c>
      <c r="C78" s="24" t="s">
        <v>607</v>
      </c>
      <c r="D78" s="24" t="s">
        <v>608</v>
      </c>
      <c r="E78" s="26">
        <v>6.24</v>
      </c>
      <c r="F78" s="25" t="s">
        <v>547</v>
      </c>
      <c r="G78" s="26">
        <f t="shared" si="8"/>
        <v>6.24</v>
      </c>
    </row>
    <row r="79" spans="1:7" ht="15.75" customHeight="1">
      <c r="A79" s="24" t="s">
        <v>143</v>
      </c>
      <c r="B79" s="26"/>
      <c r="C79" s="24"/>
      <c r="D79" s="24"/>
      <c r="E79" s="26"/>
      <c r="F79" s="25"/>
      <c r="G79" s="26"/>
    </row>
    <row r="80" spans="1:7" ht="15.75" customHeight="1">
      <c r="A80" s="24" t="s">
        <v>145</v>
      </c>
      <c r="B80" s="26">
        <v>100</v>
      </c>
      <c r="C80" s="24" t="s">
        <v>604</v>
      </c>
      <c r="D80" s="24" t="s">
        <v>605</v>
      </c>
      <c r="E80" s="26">
        <v>47.5</v>
      </c>
      <c r="F80" s="25" t="s">
        <v>569</v>
      </c>
      <c r="G80" s="26">
        <f t="shared" ref="G80:G81" si="9">(E80/B80)*2.20462</f>
        <v>1.0471944999999998</v>
      </c>
    </row>
    <row r="81" spans="1:7" ht="15.75" customHeight="1">
      <c r="A81" s="24" t="s">
        <v>147</v>
      </c>
      <c r="B81" s="26">
        <v>100</v>
      </c>
      <c r="C81" s="24" t="s">
        <v>604</v>
      </c>
      <c r="D81" s="24" t="s">
        <v>605</v>
      </c>
      <c r="E81" s="26">
        <v>37.5</v>
      </c>
      <c r="F81" s="25" t="s">
        <v>566</v>
      </c>
      <c r="G81" s="26">
        <f t="shared" si="9"/>
        <v>0.82673249999999987</v>
      </c>
    </row>
    <row r="82" spans="1:7" ht="15.75" customHeight="1">
      <c r="A82" s="24" t="s">
        <v>148</v>
      </c>
      <c r="B82" s="26">
        <v>1</v>
      </c>
      <c r="C82" s="24" t="s">
        <v>607</v>
      </c>
      <c r="D82" s="24" t="s">
        <v>608</v>
      </c>
      <c r="E82" s="26">
        <v>0.77280000000000004</v>
      </c>
      <c r="F82" s="25" t="s">
        <v>552</v>
      </c>
      <c r="G82" s="26">
        <f t="shared" ref="G82:G83" si="10">+E82</f>
        <v>0.77280000000000004</v>
      </c>
    </row>
    <row r="83" spans="1:7" ht="15.75" customHeight="1">
      <c r="A83" s="24" t="s">
        <v>150</v>
      </c>
      <c r="B83" s="26">
        <v>1</v>
      </c>
      <c r="C83" s="24" t="s">
        <v>607</v>
      </c>
      <c r="D83" s="24" t="s">
        <v>608</v>
      </c>
      <c r="E83" s="26">
        <v>0.44550000000000001</v>
      </c>
      <c r="F83" s="25" t="s">
        <v>552</v>
      </c>
      <c r="G83" s="26">
        <f t="shared" si="10"/>
        <v>0.44550000000000001</v>
      </c>
    </row>
    <row r="84" spans="1:7" ht="15.75" customHeight="1">
      <c r="A84" s="24" t="s">
        <v>155</v>
      </c>
      <c r="B84" s="26">
        <v>100</v>
      </c>
      <c r="C84" s="24" t="s">
        <v>604</v>
      </c>
      <c r="D84" s="24" t="s">
        <v>605</v>
      </c>
      <c r="E84" s="26">
        <v>15</v>
      </c>
      <c r="F84" s="25" t="s">
        <v>568</v>
      </c>
      <c r="G84" s="26">
        <f t="shared" ref="G84:G87" si="11">(E84/B84)*2.20462</f>
        <v>0.33069299999999996</v>
      </c>
    </row>
    <row r="85" spans="1:7" ht="15.75" customHeight="1">
      <c r="A85" s="24" t="s">
        <v>157</v>
      </c>
      <c r="B85" s="26">
        <v>100</v>
      </c>
      <c r="C85" s="24" t="s">
        <v>604</v>
      </c>
      <c r="D85" s="24" t="s">
        <v>625</v>
      </c>
      <c r="E85" s="26">
        <v>24</v>
      </c>
      <c r="F85" s="25" t="s">
        <v>567</v>
      </c>
      <c r="G85" s="26">
        <f t="shared" si="11"/>
        <v>0.52910879999999993</v>
      </c>
    </row>
    <row r="86" spans="1:7" ht="15.75" customHeight="1">
      <c r="A86" s="24" t="s">
        <v>159</v>
      </c>
      <c r="B86" s="26">
        <v>100</v>
      </c>
      <c r="C86" s="24" t="s">
        <v>604</v>
      </c>
      <c r="D86" s="24" t="s">
        <v>605</v>
      </c>
      <c r="E86" s="26">
        <v>12.5</v>
      </c>
      <c r="F86" s="25" t="s">
        <v>568</v>
      </c>
      <c r="G86" s="26">
        <f t="shared" si="11"/>
        <v>0.27557749999999998</v>
      </c>
    </row>
    <row r="87" spans="1:7" ht="15.75" customHeight="1">
      <c r="A87" s="24" t="s">
        <v>160</v>
      </c>
      <c r="B87" s="26">
        <v>100</v>
      </c>
      <c r="C87" s="24" t="s">
        <v>604</v>
      </c>
      <c r="D87" s="24" t="s">
        <v>605</v>
      </c>
      <c r="E87" s="26">
        <v>12.5</v>
      </c>
      <c r="F87" s="25" t="s">
        <v>568</v>
      </c>
      <c r="G87" s="26">
        <f t="shared" si="11"/>
        <v>0.27557749999999998</v>
      </c>
    </row>
    <row r="88" spans="1:7" ht="15.75" customHeight="1">
      <c r="A88" s="24" t="s">
        <v>161</v>
      </c>
      <c r="B88" s="26">
        <v>1</v>
      </c>
      <c r="C88" s="24" t="s">
        <v>607</v>
      </c>
      <c r="D88" s="24" t="s">
        <v>608</v>
      </c>
      <c r="E88" s="26">
        <v>1.9416</v>
      </c>
      <c r="F88" s="25" t="s">
        <v>613</v>
      </c>
      <c r="G88" s="26">
        <f t="shared" ref="G88:G89" si="12">+E88</f>
        <v>1.9416</v>
      </c>
    </row>
    <row r="89" spans="1:7" ht="15.75" customHeight="1">
      <c r="A89" s="24" t="s">
        <v>162</v>
      </c>
      <c r="B89" s="26">
        <v>1</v>
      </c>
      <c r="C89" s="24" t="s">
        <v>607</v>
      </c>
      <c r="D89" s="24" t="s">
        <v>608</v>
      </c>
      <c r="E89" s="26">
        <v>2.3940333333333301</v>
      </c>
      <c r="F89" s="25" t="s">
        <v>613</v>
      </c>
      <c r="G89" s="26">
        <f t="shared" si="12"/>
        <v>2.3940333333333301</v>
      </c>
    </row>
    <row r="90" spans="1:7" ht="15.75" customHeight="1">
      <c r="A90" s="24" t="s">
        <v>164</v>
      </c>
      <c r="B90" s="26" t="s">
        <v>612</v>
      </c>
      <c r="C90" s="24"/>
      <c r="D90" s="24"/>
      <c r="E90" s="26"/>
      <c r="F90" s="25"/>
      <c r="G90" s="26"/>
    </row>
    <row r="91" spans="1:7" ht="15.75" customHeight="1">
      <c r="A91" s="24" t="s">
        <v>166</v>
      </c>
      <c r="B91" s="26">
        <v>100</v>
      </c>
      <c r="C91" s="24" t="s">
        <v>604</v>
      </c>
      <c r="D91" s="24" t="s">
        <v>605</v>
      </c>
      <c r="E91" s="26">
        <v>25.5</v>
      </c>
      <c r="F91" s="25" t="s">
        <v>569</v>
      </c>
      <c r="G91" s="26">
        <f>(E91/B91)*2.20462</f>
        <v>0.56217810000000001</v>
      </c>
    </row>
    <row r="92" spans="1:7" ht="15.75" customHeight="1">
      <c r="A92" s="24" t="s">
        <v>167</v>
      </c>
      <c r="B92" s="26">
        <v>1</v>
      </c>
      <c r="C92" s="24" t="s">
        <v>607</v>
      </c>
      <c r="D92" s="24" t="s">
        <v>608</v>
      </c>
      <c r="E92" s="26">
        <v>2.6274074074074099</v>
      </c>
      <c r="F92" s="25" t="s">
        <v>613</v>
      </c>
      <c r="G92" s="26">
        <f>+E92</f>
        <v>2.6274074074074099</v>
      </c>
    </row>
    <row r="93" spans="1:7" ht="15.75" customHeight="1">
      <c r="A93" s="24" t="s">
        <v>168</v>
      </c>
      <c r="B93" s="26">
        <v>70</v>
      </c>
      <c r="C93" s="24" t="s">
        <v>604</v>
      </c>
      <c r="D93" s="24" t="s">
        <v>626</v>
      </c>
      <c r="E93" s="26">
        <v>10</v>
      </c>
      <c r="F93" s="25" t="s">
        <v>567</v>
      </c>
      <c r="G93" s="26">
        <f>+(E93/B93)*2.20462</f>
        <v>0.31494571428571422</v>
      </c>
    </row>
    <row r="94" spans="1:7" ht="15.75" customHeight="1">
      <c r="A94" s="24" t="s">
        <v>169</v>
      </c>
      <c r="B94" s="26">
        <v>100</v>
      </c>
      <c r="C94" s="24" t="s">
        <v>604</v>
      </c>
      <c r="D94" s="24" t="s">
        <v>605</v>
      </c>
      <c r="E94" s="26">
        <v>7.5</v>
      </c>
      <c r="F94" s="25" t="s">
        <v>569</v>
      </c>
      <c r="G94" s="26">
        <f>(E94/B94)*2.20462</f>
        <v>0.16534649999999998</v>
      </c>
    </row>
    <row r="95" spans="1:7" ht="15.75" customHeight="1">
      <c r="A95" s="24" t="s">
        <v>170</v>
      </c>
      <c r="B95" s="26">
        <v>11</v>
      </c>
      <c r="C95" s="24" t="s">
        <v>607</v>
      </c>
      <c r="D95" s="24" t="s">
        <v>617</v>
      </c>
      <c r="E95" s="26">
        <v>11.5</v>
      </c>
      <c r="F95" s="25" t="s">
        <v>569</v>
      </c>
      <c r="G95" s="26">
        <f>+E95/B95</f>
        <v>1.0454545454545454</v>
      </c>
    </row>
    <row r="96" spans="1:7" ht="15.75" customHeight="1">
      <c r="A96" s="24" t="s">
        <v>171</v>
      </c>
      <c r="B96" s="26">
        <v>1</v>
      </c>
      <c r="C96" s="24" t="s">
        <v>607</v>
      </c>
      <c r="D96" s="24" t="s">
        <v>608</v>
      </c>
      <c r="E96" s="26">
        <v>5.47</v>
      </c>
      <c r="F96" s="25" t="s">
        <v>547</v>
      </c>
      <c r="G96" s="26">
        <f t="shared" ref="G96:G97" si="13">+E96</f>
        <v>5.47</v>
      </c>
    </row>
    <row r="97" spans="1:7" ht="15.75" customHeight="1">
      <c r="A97" s="24" t="s">
        <v>172</v>
      </c>
      <c r="B97" s="26">
        <v>1</v>
      </c>
      <c r="C97" s="24" t="s">
        <v>607</v>
      </c>
      <c r="D97" s="24" t="s">
        <v>608</v>
      </c>
      <c r="E97" s="26">
        <v>0.82</v>
      </c>
      <c r="F97" s="25" t="s">
        <v>554</v>
      </c>
      <c r="G97" s="26">
        <f t="shared" si="13"/>
        <v>0.82</v>
      </c>
    </row>
    <row r="98" spans="1:7" ht="15.75" customHeight="1">
      <c r="A98" s="24" t="s">
        <v>175</v>
      </c>
      <c r="B98" s="26" t="s">
        <v>612</v>
      </c>
      <c r="C98" s="24"/>
      <c r="D98" s="24"/>
      <c r="E98" s="26"/>
      <c r="F98" s="25"/>
      <c r="G98" s="26"/>
    </row>
    <row r="99" spans="1:7" ht="15.75" customHeight="1">
      <c r="A99" s="24" t="s">
        <v>177</v>
      </c>
      <c r="B99" s="26">
        <v>1</v>
      </c>
      <c r="C99" s="24" t="s">
        <v>607</v>
      </c>
      <c r="D99" s="24" t="s">
        <v>608</v>
      </c>
      <c r="E99" s="26">
        <v>0.20800608818265101</v>
      </c>
      <c r="F99" s="25" t="s">
        <v>613</v>
      </c>
      <c r="G99" s="26">
        <f>+E99</f>
        <v>0.20800608818265101</v>
      </c>
    </row>
    <row r="100" spans="1:7" ht="15.75" customHeight="1">
      <c r="A100" s="24" t="s">
        <v>178</v>
      </c>
      <c r="B100" s="26">
        <v>75</v>
      </c>
      <c r="C100" s="24" t="s">
        <v>604</v>
      </c>
      <c r="D100" s="24" t="s">
        <v>606</v>
      </c>
      <c r="E100" s="26">
        <v>8</v>
      </c>
      <c r="F100" s="25" t="s">
        <v>567</v>
      </c>
      <c r="G100" s="26">
        <f>+(E100/B100)*2.20462</f>
        <v>0.23515946666666665</v>
      </c>
    </row>
    <row r="101" spans="1:7" ht="15.75" customHeight="1">
      <c r="A101" s="24" t="s">
        <v>179</v>
      </c>
      <c r="B101" s="26">
        <v>1</v>
      </c>
      <c r="C101" s="24" t="s">
        <v>607</v>
      </c>
      <c r="D101" s="24" t="s">
        <v>608</v>
      </c>
      <c r="E101" s="26">
        <v>6.24</v>
      </c>
      <c r="F101" s="25" t="s">
        <v>547</v>
      </c>
      <c r="G101" s="26">
        <f t="shared" ref="G101:G102" si="14">+E101</f>
        <v>6.24</v>
      </c>
    </row>
    <row r="102" spans="1:7" ht="15.75" customHeight="1">
      <c r="A102" s="24" t="s">
        <v>180</v>
      </c>
      <c r="B102" s="26">
        <v>1</v>
      </c>
      <c r="C102" s="24" t="s">
        <v>607</v>
      </c>
      <c r="D102" s="24" t="s">
        <v>608</v>
      </c>
      <c r="E102" s="26">
        <v>4.78</v>
      </c>
      <c r="F102" s="25" t="s">
        <v>547</v>
      </c>
      <c r="G102" s="26">
        <f t="shared" si="14"/>
        <v>4.78</v>
      </c>
    </row>
    <row r="103" spans="1:7" ht="15.75" customHeight="1">
      <c r="A103" s="24" t="s">
        <v>181</v>
      </c>
      <c r="B103" s="26"/>
      <c r="C103" s="24"/>
      <c r="D103" s="24"/>
      <c r="E103" s="26"/>
      <c r="F103" s="25"/>
      <c r="G103" s="26"/>
    </row>
    <row r="104" spans="1:7" ht="15.75" customHeight="1">
      <c r="A104" s="24" t="s">
        <v>183</v>
      </c>
      <c r="B104" s="26">
        <v>1</v>
      </c>
      <c r="C104" s="24" t="s">
        <v>607</v>
      </c>
      <c r="D104" s="24" t="s">
        <v>608</v>
      </c>
      <c r="E104" s="26">
        <v>6.24</v>
      </c>
      <c r="F104" s="25" t="s">
        <v>547</v>
      </c>
      <c r="G104" s="26">
        <f t="shared" ref="G104:G105" si="15">+E104</f>
        <v>6.24</v>
      </c>
    </row>
    <row r="105" spans="1:7" ht="15.75" customHeight="1">
      <c r="A105" s="24" t="s">
        <v>184</v>
      </c>
      <c r="B105" s="26">
        <v>1</v>
      </c>
      <c r="C105" s="24" t="s">
        <v>607</v>
      </c>
      <c r="D105" s="24" t="s">
        <v>608</v>
      </c>
      <c r="E105" s="26">
        <v>6.24</v>
      </c>
      <c r="F105" s="25" t="s">
        <v>547</v>
      </c>
      <c r="G105" s="26">
        <f t="shared" si="15"/>
        <v>6.24</v>
      </c>
    </row>
    <row r="106" spans="1:7" ht="15.75" customHeight="1">
      <c r="A106" s="24" t="s">
        <v>185</v>
      </c>
      <c r="B106" s="26"/>
      <c r="C106" s="24"/>
      <c r="D106" s="24"/>
      <c r="E106" s="26"/>
      <c r="F106" s="25"/>
      <c r="G106" s="26"/>
    </row>
    <row r="107" spans="1:7" ht="15.75" customHeight="1">
      <c r="A107" s="24" t="s">
        <v>186</v>
      </c>
      <c r="B107" s="26">
        <v>100</v>
      </c>
      <c r="C107" s="24" t="s">
        <v>604</v>
      </c>
      <c r="D107" s="24" t="s">
        <v>605</v>
      </c>
      <c r="E107" s="26">
        <v>42.5</v>
      </c>
      <c r="F107" s="27" t="s">
        <v>569</v>
      </c>
      <c r="G107" s="26">
        <f>(E107/B107)*2.20462</f>
        <v>0.93696349999999984</v>
      </c>
    </row>
    <row r="108" spans="1:7" ht="15.75" customHeight="1">
      <c r="A108" s="24" t="s">
        <v>189</v>
      </c>
      <c r="B108" s="26">
        <v>1</v>
      </c>
      <c r="C108" s="24" t="s">
        <v>607</v>
      </c>
      <c r="D108" s="24" t="s">
        <v>608</v>
      </c>
      <c r="E108" s="26">
        <v>6.24</v>
      </c>
      <c r="F108" s="25" t="s">
        <v>547</v>
      </c>
      <c r="G108" s="26">
        <f>+E108</f>
        <v>6.24</v>
      </c>
    </row>
    <row r="109" spans="1:7" ht="15.75" customHeight="1">
      <c r="A109" s="24" t="s">
        <v>190</v>
      </c>
      <c r="B109" s="26">
        <v>45324</v>
      </c>
      <c r="C109" s="24" t="s">
        <v>604</v>
      </c>
      <c r="D109" s="24" t="s">
        <v>608</v>
      </c>
      <c r="E109" s="26">
        <v>3</v>
      </c>
      <c r="F109" s="25" t="s">
        <v>562</v>
      </c>
      <c r="G109" s="26"/>
    </row>
    <row r="110" spans="1:7" ht="15.75" customHeight="1">
      <c r="A110" s="24" t="s">
        <v>191</v>
      </c>
      <c r="B110" s="26">
        <v>22</v>
      </c>
      <c r="C110" s="24" t="s">
        <v>604</v>
      </c>
      <c r="D110" s="24" t="s">
        <v>611</v>
      </c>
      <c r="E110" s="26">
        <v>8</v>
      </c>
      <c r="F110" s="25" t="s">
        <v>567</v>
      </c>
      <c r="G110" s="26">
        <f t="shared" ref="G110:G111" si="16">(E110/B110)*2.20462</f>
        <v>0.80167999999999995</v>
      </c>
    </row>
    <row r="111" spans="1:7" ht="15.75" customHeight="1">
      <c r="A111" s="24" t="s">
        <v>197</v>
      </c>
      <c r="B111" s="26">
        <v>100</v>
      </c>
      <c r="C111" s="24" t="s">
        <v>604</v>
      </c>
      <c r="D111" s="24" t="s">
        <v>605</v>
      </c>
      <c r="E111" s="26">
        <v>52.5</v>
      </c>
      <c r="F111" s="25" t="s">
        <v>569</v>
      </c>
      <c r="G111" s="26">
        <f t="shared" si="16"/>
        <v>1.1574255</v>
      </c>
    </row>
    <row r="112" spans="1:7" ht="15.75" customHeight="1">
      <c r="A112" s="24" t="s">
        <v>200</v>
      </c>
      <c r="B112" s="26">
        <v>25</v>
      </c>
      <c r="C112" s="24" t="s">
        <v>604</v>
      </c>
      <c r="D112" s="24" t="s">
        <v>627</v>
      </c>
      <c r="E112" s="26">
        <v>27.5</v>
      </c>
      <c r="F112" s="25" t="s">
        <v>562</v>
      </c>
      <c r="G112" s="26">
        <f>+(E112/B112)*2.20462</f>
        <v>2.4250820000000002</v>
      </c>
    </row>
    <row r="113" spans="1:7" ht="15.75" customHeight="1">
      <c r="A113" s="24" t="s">
        <v>205</v>
      </c>
      <c r="B113" s="26">
        <v>100</v>
      </c>
      <c r="C113" s="24" t="s">
        <v>604</v>
      </c>
      <c r="D113" s="24" t="s">
        <v>605</v>
      </c>
      <c r="E113" s="26">
        <v>52.5</v>
      </c>
      <c r="F113" s="25" t="s">
        <v>562</v>
      </c>
      <c r="G113" s="26">
        <f>(E113/B113)*2.20462</f>
        <v>1.1574255</v>
      </c>
    </row>
    <row r="114" spans="1:7" ht="15.75" customHeight="1">
      <c r="A114" s="24" t="s">
        <v>207</v>
      </c>
      <c r="B114" s="26">
        <v>1</v>
      </c>
      <c r="C114" s="24" t="s">
        <v>607</v>
      </c>
      <c r="D114" s="24" t="s">
        <v>608</v>
      </c>
      <c r="E114" s="26">
        <v>0.47</v>
      </c>
      <c r="F114" s="25" t="s">
        <v>552</v>
      </c>
      <c r="G114" s="26">
        <f>+E114</f>
        <v>0.47</v>
      </c>
    </row>
    <row r="115" spans="1:7" ht="15.75" customHeight="1">
      <c r="A115" s="24" t="s">
        <v>213</v>
      </c>
      <c r="B115" s="26">
        <v>15</v>
      </c>
      <c r="C115" s="24" t="s">
        <v>604</v>
      </c>
      <c r="D115" s="24" t="s">
        <v>628</v>
      </c>
      <c r="E115" s="26">
        <v>12</v>
      </c>
      <c r="F115" s="25" t="s">
        <v>557</v>
      </c>
      <c r="G115" s="26">
        <f>+(E115/B115)*2.20462</f>
        <v>1.7636959999999999</v>
      </c>
    </row>
    <row r="116" spans="1:7" ht="15.75" customHeight="1">
      <c r="A116" s="24" t="s">
        <v>215</v>
      </c>
      <c r="B116" s="26">
        <v>1</v>
      </c>
      <c r="C116" s="24" t="s">
        <v>607</v>
      </c>
      <c r="D116" s="24" t="s">
        <v>608</v>
      </c>
      <c r="E116" s="26">
        <v>1.8595999999999999</v>
      </c>
      <c r="F116" s="25" t="s">
        <v>564</v>
      </c>
      <c r="G116" s="26">
        <f t="shared" ref="G116:G121" si="17">+E116</f>
        <v>1.8595999999999999</v>
      </c>
    </row>
    <row r="117" spans="1:7" ht="15.75" customHeight="1">
      <c r="A117" s="24" t="s">
        <v>216</v>
      </c>
      <c r="B117" s="26">
        <v>1</v>
      </c>
      <c r="C117" s="24" t="s">
        <v>607</v>
      </c>
      <c r="D117" s="24" t="s">
        <v>608</v>
      </c>
      <c r="E117" s="26">
        <v>1.8595999999999999</v>
      </c>
      <c r="F117" s="25" t="s">
        <v>564</v>
      </c>
      <c r="G117" s="26">
        <f t="shared" si="17"/>
        <v>1.8595999999999999</v>
      </c>
    </row>
    <row r="118" spans="1:7" ht="15.75" customHeight="1">
      <c r="A118" s="24" t="s">
        <v>217</v>
      </c>
      <c r="B118" s="26">
        <v>1</v>
      </c>
      <c r="C118" s="24" t="s">
        <v>607</v>
      </c>
      <c r="D118" s="24" t="s">
        <v>608</v>
      </c>
      <c r="E118" s="26">
        <v>1.8595999999999999</v>
      </c>
      <c r="F118" s="25" t="s">
        <v>564</v>
      </c>
      <c r="G118" s="26">
        <f t="shared" si="17"/>
        <v>1.8595999999999999</v>
      </c>
    </row>
    <row r="119" spans="1:7" ht="15.75" customHeight="1">
      <c r="A119" s="24" t="s">
        <v>218</v>
      </c>
      <c r="B119" s="26">
        <v>1</v>
      </c>
      <c r="C119" s="24" t="s">
        <v>607</v>
      </c>
      <c r="D119" s="24" t="s">
        <v>608</v>
      </c>
      <c r="E119" s="26">
        <v>6.58</v>
      </c>
      <c r="F119" s="25" t="s">
        <v>547</v>
      </c>
      <c r="G119" s="26">
        <f t="shared" si="17"/>
        <v>6.58</v>
      </c>
    </row>
    <row r="120" spans="1:7" ht="15.75" customHeight="1">
      <c r="A120" s="24" t="s">
        <v>219</v>
      </c>
      <c r="B120" s="26">
        <v>1</v>
      </c>
      <c r="C120" s="24" t="s">
        <v>607</v>
      </c>
      <c r="D120" s="24" t="s">
        <v>608</v>
      </c>
      <c r="E120" s="26">
        <v>6.24</v>
      </c>
      <c r="F120" s="25" t="s">
        <v>547</v>
      </c>
      <c r="G120" s="26">
        <f t="shared" si="17"/>
        <v>6.24</v>
      </c>
    </row>
    <row r="121" spans="1:7" ht="15.75" customHeight="1">
      <c r="A121" s="24" t="s">
        <v>220</v>
      </c>
      <c r="B121" s="26">
        <v>1</v>
      </c>
      <c r="C121" s="24" t="s">
        <v>607</v>
      </c>
      <c r="D121" s="24" t="s">
        <v>608</v>
      </c>
      <c r="E121" s="26">
        <v>6.24</v>
      </c>
      <c r="F121" s="25" t="s">
        <v>547</v>
      </c>
      <c r="G121" s="26">
        <f t="shared" si="17"/>
        <v>6.24</v>
      </c>
    </row>
    <row r="122" spans="1:7" ht="15.75" customHeight="1">
      <c r="A122" s="24" t="s">
        <v>221</v>
      </c>
      <c r="B122" s="26"/>
      <c r="C122" s="24"/>
      <c r="D122" s="24"/>
      <c r="E122" s="26"/>
      <c r="F122" s="25"/>
      <c r="G122" s="26"/>
    </row>
    <row r="123" spans="1:7" ht="15.75" customHeight="1">
      <c r="A123" s="24" t="s">
        <v>222</v>
      </c>
      <c r="B123" s="26">
        <v>1</v>
      </c>
      <c r="C123" s="24" t="s">
        <v>607</v>
      </c>
      <c r="D123" s="24" t="s">
        <v>608</v>
      </c>
      <c r="E123" s="26">
        <v>1.3661402740777699</v>
      </c>
      <c r="F123" s="25" t="s">
        <v>613</v>
      </c>
      <c r="G123" s="26">
        <f>+E123</f>
        <v>1.3661402740777699</v>
      </c>
    </row>
    <row r="124" spans="1:7" ht="15.75" customHeight="1">
      <c r="A124" s="24" t="s">
        <v>223</v>
      </c>
      <c r="B124" s="26">
        <v>1</v>
      </c>
      <c r="C124" s="24" t="s">
        <v>629</v>
      </c>
      <c r="D124" s="24" t="s">
        <v>630</v>
      </c>
      <c r="E124" s="26">
        <v>8</v>
      </c>
      <c r="F124" s="25" t="s">
        <v>570</v>
      </c>
      <c r="G124" s="26">
        <f>+E124/8</f>
        <v>1</v>
      </c>
    </row>
    <row r="125" spans="1:7" ht="15.75" customHeight="1">
      <c r="A125" s="24" t="s">
        <v>224</v>
      </c>
      <c r="B125" s="26">
        <v>100</v>
      </c>
      <c r="C125" s="24" t="s">
        <v>604</v>
      </c>
      <c r="D125" s="24" t="s">
        <v>605</v>
      </c>
      <c r="E125" s="26">
        <v>27.5</v>
      </c>
      <c r="F125" s="25" t="s">
        <v>569</v>
      </c>
      <c r="G125" s="26">
        <f t="shared" ref="G125:G126" si="18">(E125/B125)*2.20462</f>
        <v>0.60627050000000005</v>
      </c>
    </row>
    <row r="126" spans="1:7" ht="15.75" customHeight="1">
      <c r="A126" s="24" t="s">
        <v>225</v>
      </c>
      <c r="B126" s="26">
        <v>100</v>
      </c>
      <c r="C126" s="24" t="s">
        <v>604</v>
      </c>
      <c r="D126" s="24" t="s">
        <v>605</v>
      </c>
      <c r="E126" s="26">
        <v>17</v>
      </c>
      <c r="F126" s="25" t="s">
        <v>569</v>
      </c>
      <c r="G126" s="26">
        <f t="shared" si="18"/>
        <v>0.37478539999999999</v>
      </c>
    </row>
    <row r="127" spans="1:7" ht="15.75" customHeight="1">
      <c r="A127" s="24" t="s">
        <v>226</v>
      </c>
      <c r="B127" s="26">
        <v>1</v>
      </c>
      <c r="C127" s="24" t="s">
        <v>607</v>
      </c>
      <c r="D127" s="24" t="s">
        <v>608</v>
      </c>
      <c r="E127" s="26">
        <v>6.65</v>
      </c>
      <c r="F127" s="25" t="s">
        <v>547</v>
      </c>
      <c r="G127" s="26">
        <f>+E127</f>
        <v>6.65</v>
      </c>
    </row>
    <row r="128" spans="1:7" ht="15.75" customHeight="1">
      <c r="A128" s="24" t="s">
        <v>228</v>
      </c>
      <c r="B128" s="26">
        <v>1</v>
      </c>
      <c r="C128" s="24" t="s">
        <v>607</v>
      </c>
      <c r="D128" s="24" t="s">
        <v>631</v>
      </c>
      <c r="E128" s="26">
        <v>1.7741</v>
      </c>
      <c r="F128" s="25" t="s">
        <v>554</v>
      </c>
      <c r="G128" s="26">
        <v>1.7741</v>
      </c>
    </row>
    <row r="129" spans="1:8" ht="15.75" customHeight="1">
      <c r="A129" s="24" t="s">
        <v>230</v>
      </c>
      <c r="B129" s="26">
        <v>100</v>
      </c>
      <c r="C129" s="24" t="s">
        <v>604</v>
      </c>
      <c r="D129" s="24" t="s">
        <v>605</v>
      </c>
      <c r="E129" s="26">
        <v>52.5</v>
      </c>
      <c r="F129" s="25" t="s">
        <v>571</v>
      </c>
      <c r="G129" s="26">
        <f t="shared" ref="G129:G130" si="19">(E129/B129)*2.20462</f>
        <v>1.1574255</v>
      </c>
    </row>
    <row r="130" spans="1:8" ht="15.75" customHeight="1">
      <c r="A130" s="24" t="s">
        <v>232</v>
      </c>
      <c r="B130" s="26">
        <v>100</v>
      </c>
      <c r="C130" s="24" t="s">
        <v>604</v>
      </c>
      <c r="D130" s="24" t="s">
        <v>605</v>
      </c>
      <c r="E130" s="26">
        <v>51</v>
      </c>
      <c r="F130" s="25" t="s">
        <v>572</v>
      </c>
      <c r="G130" s="26">
        <f t="shared" si="19"/>
        <v>1.1243562</v>
      </c>
    </row>
    <row r="131" spans="1:8" ht="15.75" customHeight="1">
      <c r="A131" s="24" t="s">
        <v>234</v>
      </c>
      <c r="B131" s="26">
        <v>1</v>
      </c>
      <c r="C131" s="24" t="s">
        <v>607</v>
      </c>
      <c r="D131" s="24" t="s">
        <v>608</v>
      </c>
      <c r="E131" s="26">
        <v>0.35</v>
      </c>
      <c r="F131" s="25" t="s">
        <v>554</v>
      </c>
      <c r="G131" s="26">
        <f t="shared" ref="G131:G132" si="20">+E131</f>
        <v>0.35</v>
      </c>
    </row>
    <row r="132" spans="1:8" ht="15.75" customHeight="1">
      <c r="A132" s="24" t="s">
        <v>241</v>
      </c>
      <c r="B132" s="26">
        <v>1</v>
      </c>
      <c r="C132" s="24" t="s">
        <v>607</v>
      </c>
      <c r="D132" s="24" t="s">
        <v>608</v>
      </c>
      <c r="E132" s="26">
        <v>6.24</v>
      </c>
      <c r="F132" s="25" t="s">
        <v>547</v>
      </c>
      <c r="G132" s="26">
        <f t="shared" si="20"/>
        <v>6.24</v>
      </c>
    </row>
    <row r="133" spans="1:8" ht="15.75" customHeight="1">
      <c r="A133" s="24" t="s">
        <v>242</v>
      </c>
      <c r="B133" s="26" t="s">
        <v>612</v>
      </c>
      <c r="C133" s="24"/>
      <c r="D133" s="24"/>
      <c r="E133" s="26"/>
      <c r="F133" s="25"/>
      <c r="G133" s="26"/>
    </row>
    <row r="134" spans="1:8" ht="15.75" customHeight="1">
      <c r="A134" s="24" t="s">
        <v>244</v>
      </c>
      <c r="B134" s="26">
        <v>25</v>
      </c>
      <c r="C134" s="24" t="s">
        <v>629</v>
      </c>
      <c r="D134" s="24" t="s">
        <v>632</v>
      </c>
      <c r="E134" s="26">
        <v>20</v>
      </c>
      <c r="F134" s="25" t="s">
        <v>573</v>
      </c>
      <c r="G134" s="26">
        <f>+E134/B134</f>
        <v>0.8</v>
      </c>
    </row>
    <row r="135" spans="1:8" ht="15.75" customHeight="1">
      <c r="A135" s="24" t="s">
        <v>245</v>
      </c>
      <c r="B135" s="26"/>
      <c r="C135" s="24"/>
      <c r="D135" s="24"/>
      <c r="E135" s="26"/>
      <c r="F135" s="25"/>
      <c r="G135" s="26"/>
    </row>
    <row r="136" spans="1:8" ht="15.75" customHeight="1">
      <c r="A136" s="24" t="s">
        <v>247</v>
      </c>
      <c r="B136" s="26"/>
      <c r="C136" s="24"/>
      <c r="D136" s="24"/>
      <c r="E136" s="26"/>
      <c r="F136" s="25"/>
      <c r="G136" s="26"/>
    </row>
    <row r="137" spans="1:8" ht="15.75" customHeight="1">
      <c r="A137" s="24" t="s">
        <v>254</v>
      </c>
      <c r="B137" s="26">
        <v>30</v>
      </c>
      <c r="C137" s="24" t="s">
        <v>629</v>
      </c>
      <c r="D137" s="24" t="s">
        <v>600</v>
      </c>
      <c r="E137" s="26">
        <v>3.0453000000000001</v>
      </c>
      <c r="F137" s="25" t="s">
        <v>569</v>
      </c>
      <c r="G137" s="26">
        <f t="shared" ref="G137:G139" si="21">+E137/B137</f>
        <v>0.10151</v>
      </c>
    </row>
    <row r="138" spans="1:8" ht="15.75" customHeight="1">
      <c r="A138" s="24" t="s">
        <v>255</v>
      </c>
      <c r="B138" s="26">
        <v>30</v>
      </c>
      <c r="C138" s="24" t="s">
        <v>629</v>
      </c>
      <c r="D138" s="24" t="s">
        <v>600</v>
      </c>
      <c r="E138" s="26">
        <v>2.9312</v>
      </c>
      <c r="F138" s="25" t="s">
        <v>569</v>
      </c>
      <c r="G138" s="26">
        <f t="shared" si="21"/>
        <v>9.7706666666666664E-2</v>
      </c>
    </row>
    <row r="139" spans="1:8" ht="15.75" customHeight="1">
      <c r="A139" s="24" t="s">
        <v>256</v>
      </c>
      <c r="B139" s="26">
        <v>30</v>
      </c>
      <c r="C139" s="24" t="s">
        <v>629</v>
      </c>
      <c r="D139" s="24" t="s">
        <v>600</v>
      </c>
      <c r="E139" s="26">
        <v>2.7896999999999998</v>
      </c>
      <c r="F139" s="25" t="s">
        <v>569</v>
      </c>
      <c r="G139" s="26">
        <f t="shared" si="21"/>
        <v>9.2989999999999989E-2</v>
      </c>
    </row>
    <row r="140" spans="1:8" ht="15.75" customHeight="1">
      <c r="A140" s="24" t="s">
        <v>257</v>
      </c>
      <c r="B140" s="26">
        <v>1</v>
      </c>
      <c r="C140" s="24" t="s">
        <v>607</v>
      </c>
      <c r="D140" s="24" t="s">
        <v>608</v>
      </c>
      <c r="E140" s="26">
        <v>6.24</v>
      </c>
      <c r="F140" s="25" t="s">
        <v>547</v>
      </c>
      <c r="G140" s="26">
        <f t="shared" ref="G140:G141" si="22">+E140</f>
        <v>6.24</v>
      </c>
    </row>
    <row r="141" spans="1:8" ht="15.75" customHeight="1">
      <c r="A141" s="24" t="s">
        <v>258</v>
      </c>
      <c r="B141" s="26">
        <v>1</v>
      </c>
      <c r="C141" s="24" t="s">
        <v>607</v>
      </c>
      <c r="D141" s="24" t="s">
        <v>608</v>
      </c>
      <c r="E141" s="26">
        <v>6.23</v>
      </c>
      <c r="F141" s="25" t="s">
        <v>547</v>
      </c>
      <c r="G141" s="26">
        <f t="shared" si="22"/>
        <v>6.23</v>
      </c>
    </row>
    <row r="142" spans="1:8" ht="15.75" customHeight="1">
      <c r="A142" s="24" t="s">
        <v>259</v>
      </c>
      <c r="B142" s="26">
        <v>10</v>
      </c>
      <c r="C142" s="24" t="s">
        <v>604</v>
      </c>
      <c r="D142" s="24" t="s">
        <v>633</v>
      </c>
      <c r="E142" s="26">
        <v>0.75</v>
      </c>
      <c r="F142" s="25" t="s">
        <v>571</v>
      </c>
      <c r="G142" s="26">
        <f>+E142*2.20462</f>
        <v>1.6534649999999997</v>
      </c>
    </row>
    <row r="143" spans="1:8" ht="15.75" customHeight="1">
      <c r="A143" s="24" t="s">
        <v>260</v>
      </c>
      <c r="B143" s="26">
        <v>1</v>
      </c>
      <c r="C143" s="24" t="s">
        <v>632</v>
      </c>
      <c r="D143" s="24" t="s">
        <v>634</v>
      </c>
      <c r="E143" s="26">
        <v>20</v>
      </c>
      <c r="F143" s="25" t="s">
        <v>574</v>
      </c>
      <c r="G143" s="26">
        <f>+E143</f>
        <v>20</v>
      </c>
      <c r="H143" s="2" t="s">
        <v>616</v>
      </c>
    </row>
    <row r="144" spans="1:8" ht="15.75" customHeight="1">
      <c r="A144" s="24" t="s">
        <v>261</v>
      </c>
      <c r="B144" s="26">
        <v>100</v>
      </c>
      <c r="C144" s="24" t="s">
        <v>604</v>
      </c>
      <c r="D144" s="24" t="s">
        <v>605</v>
      </c>
      <c r="E144" s="26">
        <v>30</v>
      </c>
      <c r="F144" s="25" t="s">
        <v>575</v>
      </c>
      <c r="G144" s="26">
        <f>(E144/B144)*2.20462</f>
        <v>0.66138599999999992</v>
      </c>
    </row>
    <row r="145" spans="1:7" ht="15.75" customHeight="1">
      <c r="A145" s="24" t="s">
        <v>262</v>
      </c>
      <c r="B145" s="26">
        <v>1</v>
      </c>
      <c r="C145" s="24" t="s">
        <v>632</v>
      </c>
      <c r="D145" s="24" t="s">
        <v>608</v>
      </c>
      <c r="E145" s="26">
        <v>9</v>
      </c>
      <c r="F145" s="25" t="s">
        <v>571</v>
      </c>
      <c r="G145" s="26"/>
    </row>
    <row r="146" spans="1:7" ht="15.75" customHeight="1">
      <c r="A146" s="24" t="s">
        <v>264</v>
      </c>
      <c r="B146" s="26">
        <v>1</v>
      </c>
      <c r="C146" s="24" t="s">
        <v>635</v>
      </c>
      <c r="D146" s="24" t="s">
        <v>636</v>
      </c>
      <c r="E146" s="26">
        <v>0.44130000000000003</v>
      </c>
      <c r="F146" s="25" t="s">
        <v>564</v>
      </c>
      <c r="G146" s="26">
        <v>0.44130000000000003</v>
      </c>
    </row>
    <row r="147" spans="1:7" ht="15.75" customHeight="1">
      <c r="A147" s="24" t="s">
        <v>272</v>
      </c>
      <c r="B147" s="26">
        <v>1</v>
      </c>
      <c r="C147" s="24" t="s">
        <v>607</v>
      </c>
      <c r="D147" s="24" t="s">
        <v>608</v>
      </c>
      <c r="E147" s="26">
        <v>0.23803763728220301</v>
      </c>
      <c r="F147" s="25" t="s">
        <v>613</v>
      </c>
      <c r="G147" s="26">
        <f t="shared" ref="G147:G148" si="23">+E147</f>
        <v>0.23803763728220301</v>
      </c>
    </row>
    <row r="148" spans="1:7" ht="15.75" customHeight="1">
      <c r="A148" s="24" t="s">
        <v>273</v>
      </c>
      <c r="B148" s="26">
        <v>1</v>
      </c>
      <c r="C148" s="24" t="s">
        <v>607</v>
      </c>
      <c r="D148" s="24" t="s">
        <v>608</v>
      </c>
      <c r="E148" s="26">
        <v>1.7702575265643401</v>
      </c>
      <c r="F148" s="25" t="s">
        <v>613</v>
      </c>
      <c r="G148" s="26">
        <f t="shared" si="23"/>
        <v>1.7702575265643401</v>
      </c>
    </row>
    <row r="149" spans="1:7" ht="15.75" customHeight="1">
      <c r="A149" s="24" t="s">
        <v>274</v>
      </c>
      <c r="B149" s="26">
        <v>100</v>
      </c>
      <c r="C149" s="24" t="s">
        <v>604</v>
      </c>
      <c r="D149" s="24" t="s">
        <v>605</v>
      </c>
      <c r="E149" s="26">
        <v>80.72</v>
      </c>
      <c r="F149" s="25" t="s">
        <v>553</v>
      </c>
      <c r="G149" s="26">
        <f>(E149/B149)*2.20462</f>
        <v>1.7795692639999998</v>
      </c>
    </row>
    <row r="150" spans="1:7" ht="15.75" customHeight="1">
      <c r="A150" s="24" t="s">
        <v>275</v>
      </c>
      <c r="B150" s="26">
        <v>1</v>
      </c>
      <c r="C150" s="24" t="s">
        <v>607</v>
      </c>
      <c r="D150" s="24" t="s">
        <v>608</v>
      </c>
      <c r="E150" s="26">
        <v>5.65</v>
      </c>
      <c r="F150" s="25" t="s">
        <v>547</v>
      </c>
      <c r="G150" s="26">
        <f>+E150</f>
        <v>5.65</v>
      </c>
    </row>
    <row r="151" spans="1:7" ht="15.75" customHeight="1">
      <c r="A151" s="24" t="s">
        <v>276</v>
      </c>
      <c r="B151" s="26">
        <v>2.2000000000000002</v>
      </c>
      <c r="C151" s="24" t="s">
        <v>604</v>
      </c>
      <c r="D151" s="24" t="s">
        <v>608</v>
      </c>
      <c r="E151" s="26">
        <v>2.62</v>
      </c>
      <c r="F151" s="25" t="s">
        <v>637</v>
      </c>
      <c r="G151" s="26"/>
    </row>
    <row r="152" spans="1:7" ht="15.75" customHeight="1">
      <c r="A152" s="24" t="s">
        <v>278</v>
      </c>
      <c r="B152" s="26">
        <v>40</v>
      </c>
      <c r="C152" s="24" t="s">
        <v>604</v>
      </c>
      <c r="D152" s="24" t="s">
        <v>611</v>
      </c>
      <c r="E152" s="26">
        <v>25.5</v>
      </c>
      <c r="F152" s="25" t="s">
        <v>571</v>
      </c>
      <c r="G152" s="26">
        <f>(E152/B152)*2.20462</f>
        <v>1.4054452499999999</v>
      </c>
    </row>
    <row r="153" spans="1:7" ht="15.75" customHeight="1">
      <c r="A153" s="24" t="s">
        <v>279</v>
      </c>
      <c r="B153" s="26">
        <v>1</v>
      </c>
      <c r="C153" s="24" t="s">
        <v>607</v>
      </c>
      <c r="D153" s="24" t="s">
        <v>608</v>
      </c>
      <c r="E153" s="26"/>
      <c r="F153" s="25" t="s">
        <v>638</v>
      </c>
      <c r="G153" s="26">
        <f t="shared" ref="G153:G156" si="24">+E153</f>
        <v>0</v>
      </c>
    </row>
    <row r="154" spans="1:7" ht="15.75" customHeight="1">
      <c r="A154" s="24" t="s">
        <v>280</v>
      </c>
      <c r="B154" s="26">
        <v>1</v>
      </c>
      <c r="C154" s="24" t="s">
        <v>607</v>
      </c>
      <c r="D154" s="24" t="s">
        <v>608</v>
      </c>
      <c r="E154" s="26">
        <v>0.77700000000000002</v>
      </c>
      <c r="F154" s="25" t="s">
        <v>577</v>
      </c>
      <c r="G154" s="26">
        <f t="shared" si="24"/>
        <v>0.77700000000000002</v>
      </c>
    </row>
    <row r="155" spans="1:7" ht="15.75" customHeight="1">
      <c r="A155" s="24" t="s">
        <v>281</v>
      </c>
      <c r="B155" s="26">
        <v>1</v>
      </c>
      <c r="C155" s="24" t="s">
        <v>607</v>
      </c>
      <c r="D155" s="24" t="s">
        <v>608</v>
      </c>
      <c r="E155" s="26">
        <v>0.77700000000000002</v>
      </c>
      <c r="F155" s="25" t="s">
        <v>554</v>
      </c>
      <c r="G155" s="26">
        <f t="shared" si="24"/>
        <v>0.77700000000000002</v>
      </c>
    </row>
    <row r="156" spans="1:7" ht="15.75" customHeight="1">
      <c r="A156" s="24" t="s">
        <v>283</v>
      </c>
      <c r="B156" s="26">
        <v>1</v>
      </c>
      <c r="C156" s="24" t="s">
        <v>607</v>
      </c>
      <c r="D156" s="24" t="s">
        <v>608</v>
      </c>
      <c r="E156" s="26">
        <v>6.24</v>
      </c>
      <c r="F156" s="25" t="s">
        <v>547</v>
      </c>
      <c r="G156" s="26">
        <f t="shared" si="24"/>
        <v>6.24</v>
      </c>
    </row>
    <row r="157" spans="1:7" ht="15.75" customHeight="1">
      <c r="A157" s="24" t="s">
        <v>284</v>
      </c>
      <c r="B157" s="26">
        <v>1</v>
      </c>
      <c r="C157" s="24" t="s">
        <v>604</v>
      </c>
      <c r="D157" s="24" t="s">
        <v>633</v>
      </c>
      <c r="E157" s="26">
        <v>2</v>
      </c>
      <c r="F157" s="25" t="s">
        <v>578</v>
      </c>
      <c r="G157" s="26">
        <f>+E157*2.20462</f>
        <v>4.4092399999999996</v>
      </c>
    </row>
    <row r="158" spans="1:7" ht="15.75" customHeight="1">
      <c r="A158" s="24" t="s">
        <v>285</v>
      </c>
      <c r="B158" s="26">
        <v>1</v>
      </c>
      <c r="C158" s="24" t="s">
        <v>607</v>
      </c>
      <c r="D158" s="24" t="s">
        <v>608</v>
      </c>
      <c r="E158" s="26">
        <v>6.24</v>
      </c>
      <c r="F158" s="25" t="s">
        <v>547</v>
      </c>
      <c r="G158" s="26">
        <f t="shared" ref="G158:G159" si="25">+E158</f>
        <v>6.24</v>
      </c>
    </row>
    <row r="159" spans="1:7" ht="15.75" customHeight="1">
      <c r="A159" s="24" t="s">
        <v>286</v>
      </c>
      <c r="B159" s="26">
        <v>1</v>
      </c>
      <c r="C159" s="24" t="s">
        <v>607</v>
      </c>
      <c r="D159" s="24" t="s">
        <v>608</v>
      </c>
      <c r="E159" s="26">
        <v>6.24</v>
      </c>
      <c r="F159" s="25" t="s">
        <v>547</v>
      </c>
      <c r="G159" s="26">
        <f t="shared" si="25"/>
        <v>6.24</v>
      </c>
    </row>
    <row r="160" spans="1:7" ht="15.75" customHeight="1">
      <c r="A160" s="24" t="s">
        <v>287</v>
      </c>
      <c r="B160" s="26" t="s">
        <v>612</v>
      </c>
      <c r="C160" s="24"/>
      <c r="D160" s="24"/>
      <c r="E160" s="26"/>
      <c r="F160" s="25"/>
      <c r="G160" s="26"/>
    </row>
    <row r="161" spans="1:7" ht="15.75" customHeight="1">
      <c r="A161" s="24" t="s">
        <v>296</v>
      </c>
      <c r="B161" s="26">
        <v>100</v>
      </c>
      <c r="C161" s="24" t="s">
        <v>604</v>
      </c>
      <c r="D161" s="24" t="s">
        <v>605</v>
      </c>
      <c r="E161" s="26">
        <v>61</v>
      </c>
      <c r="F161" s="25" t="s">
        <v>571</v>
      </c>
      <c r="G161" s="26">
        <f>(E161/B161)*2.20462</f>
        <v>1.3448181999999997</v>
      </c>
    </row>
    <row r="162" spans="1:7" ht="15.75" customHeight="1">
      <c r="A162" s="24" t="s">
        <v>297</v>
      </c>
      <c r="B162" s="26">
        <v>1</v>
      </c>
      <c r="C162" s="24" t="s">
        <v>607</v>
      </c>
      <c r="D162" s="24" t="s">
        <v>608</v>
      </c>
      <c r="E162" s="26">
        <v>28.51</v>
      </c>
      <c r="F162" s="25" t="s">
        <v>552</v>
      </c>
      <c r="G162" s="26">
        <f>+E162</f>
        <v>28.51</v>
      </c>
    </row>
    <row r="163" spans="1:7" ht="15.75" customHeight="1">
      <c r="A163" s="24" t="s">
        <v>300</v>
      </c>
      <c r="B163" s="26">
        <v>100</v>
      </c>
      <c r="C163" s="24" t="s">
        <v>604</v>
      </c>
      <c r="D163" s="24" t="s">
        <v>605</v>
      </c>
      <c r="E163" s="26">
        <v>61</v>
      </c>
      <c r="F163" s="25" t="s">
        <v>571</v>
      </c>
      <c r="G163" s="26">
        <f t="shared" ref="G163:G165" si="26">(E163/B163)*2.20462</f>
        <v>1.3448181999999997</v>
      </c>
    </row>
    <row r="164" spans="1:7" ht="15.75" customHeight="1">
      <c r="A164" s="24" t="s">
        <v>301</v>
      </c>
      <c r="B164" s="26">
        <v>100</v>
      </c>
      <c r="C164" s="24" t="s">
        <v>604</v>
      </c>
      <c r="D164" s="24" t="s">
        <v>605</v>
      </c>
      <c r="E164" s="26">
        <v>18.71</v>
      </c>
      <c r="F164" s="25" t="s">
        <v>557</v>
      </c>
      <c r="G164" s="26">
        <f t="shared" si="26"/>
        <v>0.41248440199999997</v>
      </c>
    </row>
    <row r="165" spans="1:7" ht="15.75" customHeight="1">
      <c r="A165" s="24" t="s">
        <v>302</v>
      </c>
      <c r="B165" s="26">
        <v>100</v>
      </c>
      <c r="C165" s="24" t="s">
        <v>604</v>
      </c>
      <c r="D165" s="24" t="s">
        <v>605</v>
      </c>
      <c r="E165" s="26">
        <v>78</v>
      </c>
      <c r="F165" s="25" t="s">
        <v>571</v>
      </c>
      <c r="G165" s="26">
        <f t="shared" si="26"/>
        <v>1.7196035999999999</v>
      </c>
    </row>
    <row r="166" spans="1:7" ht="15.75" customHeight="1">
      <c r="A166" s="24" t="s">
        <v>305</v>
      </c>
      <c r="B166" s="26"/>
      <c r="C166" s="24"/>
      <c r="D166" s="24"/>
      <c r="E166" s="26"/>
      <c r="F166" s="25"/>
      <c r="G166" s="26"/>
    </row>
    <row r="167" spans="1:7" ht="15.75" customHeight="1">
      <c r="A167" s="24" t="s">
        <v>308</v>
      </c>
      <c r="B167" s="26">
        <v>1</v>
      </c>
      <c r="C167" s="24" t="s">
        <v>604</v>
      </c>
      <c r="D167" s="24" t="s">
        <v>633</v>
      </c>
      <c r="E167" s="26">
        <v>0.6</v>
      </c>
      <c r="F167" s="25" t="s">
        <v>571</v>
      </c>
      <c r="G167" s="26">
        <f>+E167*2.20462</f>
        <v>1.3227719999999998</v>
      </c>
    </row>
    <row r="168" spans="1:7" ht="15.75" customHeight="1">
      <c r="A168" s="24" t="s">
        <v>309</v>
      </c>
      <c r="B168" s="26">
        <v>110</v>
      </c>
      <c r="C168" s="24" t="s">
        <v>604</v>
      </c>
      <c r="D168" s="24" t="s">
        <v>606</v>
      </c>
      <c r="E168" s="26">
        <v>21.3</v>
      </c>
      <c r="F168" s="25" t="s">
        <v>557</v>
      </c>
      <c r="G168" s="26">
        <f>+(E168/B168)*2.20462</f>
        <v>0.42689459999999996</v>
      </c>
    </row>
    <row r="169" spans="1:7" ht="15.75" customHeight="1">
      <c r="A169" s="24" t="s">
        <v>313</v>
      </c>
      <c r="B169" s="26">
        <v>1</v>
      </c>
      <c r="C169" s="24" t="s">
        <v>604</v>
      </c>
      <c r="D169" s="24" t="s">
        <v>633</v>
      </c>
      <c r="E169" s="26">
        <v>1.5</v>
      </c>
      <c r="F169" s="25" t="s">
        <v>571</v>
      </c>
      <c r="G169" s="26">
        <f>+E169*2.20462</f>
        <v>3.3069299999999995</v>
      </c>
    </row>
    <row r="170" spans="1:7" ht="15.75" customHeight="1">
      <c r="A170" s="24" t="s">
        <v>314</v>
      </c>
      <c r="B170" s="26">
        <v>1</v>
      </c>
      <c r="C170" s="24" t="s">
        <v>607</v>
      </c>
      <c r="D170" s="24" t="s">
        <v>631</v>
      </c>
      <c r="E170" s="26">
        <v>1.5055000000000001</v>
      </c>
      <c r="F170" s="25" t="s">
        <v>554</v>
      </c>
      <c r="G170" s="26">
        <v>1.5055000000000001</v>
      </c>
    </row>
    <row r="171" spans="1:7" ht="15.75" customHeight="1">
      <c r="A171" s="24" t="s">
        <v>315</v>
      </c>
      <c r="B171" s="26">
        <v>100</v>
      </c>
      <c r="C171" s="24" t="s">
        <v>604</v>
      </c>
      <c r="D171" s="24" t="s">
        <v>605</v>
      </c>
      <c r="E171" s="26">
        <v>51</v>
      </c>
      <c r="F171" s="25" t="s">
        <v>571</v>
      </c>
      <c r="G171" s="26">
        <f>(E171/B171)*2.20462</f>
        <v>1.1243562</v>
      </c>
    </row>
    <row r="172" spans="1:7" ht="15.75" customHeight="1">
      <c r="A172" s="24" t="s">
        <v>319</v>
      </c>
      <c r="B172" s="26">
        <v>40</v>
      </c>
      <c r="C172" s="24" t="s">
        <v>604</v>
      </c>
      <c r="D172" s="24" t="s">
        <v>617</v>
      </c>
      <c r="E172" s="26">
        <v>19</v>
      </c>
      <c r="F172" s="25" t="s">
        <v>580</v>
      </c>
      <c r="G172" s="26">
        <f>+(E172/B172)*2.20462</f>
        <v>1.0471944999999998</v>
      </c>
    </row>
    <row r="173" spans="1:7" ht="15.75" customHeight="1">
      <c r="A173" s="24" t="s">
        <v>320</v>
      </c>
      <c r="B173" s="26" t="s">
        <v>612</v>
      </c>
      <c r="C173" s="24"/>
      <c r="D173" s="24"/>
      <c r="E173" s="26"/>
      <c r="F173" s="25"/>
      <c r="G173" s="26"/>
    </row>
    <row r="174" spans="1:7" ht="15.75" customHeight="1">
      <c r="A174" s="24" t="s">
        <v>323</v>
      </c>
      <c r="B174" s="26"/>
      <c r="C174" s="24"/>
      <c r="D174" s="24"/>
      <c r="E174" s="26"/>
      <c r="F174" s="25"/>
      <c r="G174" s="26">
        <v>0.63830000000000009</v>
      </c>
    </row>
    <row r="175" spans="1:7" ht="15.75" customHeight="1">
      <c r="A175" s="24" t="s">
        <v>324</v>
      </c>
      <c r="B175" s="26">
        <v>1</v>
      </c>
      <c r="C175" s="24" t="s">
        <v>607</v>
      </c>
      <c r="D175" s="24" t="s">
        <v>608</v>
      </c>
      <c r="E175" s="26">
        <v>0.53790000000000004</v>
      </c>
      <c r="F175" s="25" t="s">
        <v>554</v>
      </c>
      <c r="G175" s="26">
        <f t="shared" ref="G175:G177" si="27">+E175</f>
        <v>0.53790000000000004</v>
      </c>
    </row>
    <row r="176" spans="1:7" ht="15.75" customHeight="1">
      <c r="A176" s="24" t="s">
        <v>325</v>
      </c>
      <c r="B176" s="26">
        <v>1</v>
      </c>
      <c r="C176" s="24" t="s">
        <v>607</v>
      </c>
      <c r="D176" s="24" t="s">
        <v>608</v>
      </c>
      <c r="E176" s="26">
        <v>0.73870000000000002</v>
      </c>
      <c r="F176" s="25" t="s">
        <v>554</v>
      </c>
      <c r="G176" s="26">
        <f t="shared" si="27"/>
        <v>0.73870000000000002</v>
      </c>
    </row>
    <row r="177" spans="1:7" ht="15.75" customHeight="1">
      <c r="A177" s="24" t="s">
        <v>328</v>
      </c>
      <c r="B177" s="26">
        <v>1</v>
      </c>
      <c r="C177" s="24" t="s">
        <v>607</v>
      </c>
      <c r="D177" s="24" t="s">
        <v>608</v>
      </c>
      <c r="E177" s="26">
        <v>0.64980000000000004</v>
      </c>
      <c r="F177" s="25" t="s">
        <v>554</v>
      </c>
      <c r="G177" s="26">
        <f t="shared" si="27"/>
        <v>0.64980000000000004</v>
      </c>
    </row>
    <row r="178" spans="1:7" ht="15.75" customHeight="1">
      <c r="A178" s="24" t="s">
        <v>330</v>
      </c>
      <c r="B178" s="26">
        <v>100</v>
      </c>
      <c r="C178" s="24" t="s">
        <v>604</v>
      </c>
      <c r="D178" s="24" t="s">
        <v>605</v>
      </c>
      <c r="E178" s="26">
        <v>51</v>
      </c>
      <c r="F178" s="25" t="s">
        <v>571</v>
      </c>
      <c r="G178" s="26">
        <f>(E178/B178)*2.20462</f>
        <v>1.1243562</v>
      </c>
    </row>
    <row r="179" spans="1:7" ht="15.75" customHeight="1">
      <c r="A179" s="24" t="s">
        <v>331</v>
      </c>
      <c r="B179" s="26">
        <v>1</v>
      </c>
      <c r="C179" s="24" t="s">
        <v>607</v>
      </c>
      <c r="D179" s="24" t="s">
        <v>631</v>
      </c>
      <c r="E179" s="26">
        <v>1.925</v>
      </c>
      <c r="F179" s="25" t="s">
        <v>553</v>
      </c>
      <c r="G179" s="26">
        <v>1.925</v>
      </c>
    </row>
    <row r="180" spans="1:7" ht="15.75" customHeight="1">
      <c r="A180" s="24" t="s">
        <v>335</v>
      </c>
      <c r="B180" s="26">
        <v>1</v>
      </c>
      <c r="C180" s="24" t="s">
        <v>607</v>
      </c>
      <c r="D180" s="24" t="s">
        <v>608</v>
      </c>
      <c r="E180" s="26">
        <v>1.3568</v>
      </c>
      <c r="F180" s="25" t="s">
        <v>554</v>
      </c>
      <c r="G180" s="26">
        <f>+E180</f>
        <v>1.3568</v>
      </c>
    </row>
    <row r="181" spans="1:7" ht="15.75" customHeight="1">
      <c r="A181" s="24" t="s">
        <v>337</v>
      </c>
      <c r="B181" s="26">
        <v>2.2000000000000002</v>
      </c>
      <c r="C181" s="24" t="s">
        <v>604</v>
      </c>
      <c r="D181" s="24" t="s">
        <v>608</v>
      </c>
      <c r="E181" s="26">
        <v>2.62</v>
      </c>
      <c r="F181" s="25" t="s">
        <v>571</v>
      </c>
      <c r="G181" s="26"/>
    </row>
    <row r="182" spans="1:7" ht="15.75" customHeight="1">
      <c r="A182" s="24" t="s">
        <v>338</v>
      </c>
      <c r="B182" s="26">
        <v>1</v>
      </c>
      <c r="C182" s="24" t="s">
        <v>607</v>
      </c>
      <c r="D182" s="24" t="s">
        <v>608</v>
      </c>
      <c r="E182" s="26">
        <v>0.68094377209573298</v>
      </c>
      <c r="F182" s="25" t="s">
        <v>613</v>
      </c>
      <c r="G182" s="26">
        <f>+E182</f>
        <v>0.68094377209573298</v>
      </c>
    </row>
    <row r="183" spans="1:7" ht="15.75" customHeight="1">
      <c r="A183" s="24" t="s">
        <v>339</v>
      </c>
      <c r="B183" s="26">
        <v>2.2000000000000002</v>
      </c>
      <c r="C183" s="24" t="s">
        <v>604</v>
      </c>
      <c r="D183" s="24" t="s">
        <v>608</v>
      </c>
      <c r="E183" s="26">
        <v>1.29</v>
      </c>
      <c r="F183" s="25" t="s">
        <v>639</v>
      </c>
      <c r="G183" s="26"/>
    </row>
    <row r="184" spans="1:7" ht="15.75" customHeight="1">
      <c r="A184" s="24" t="s">
        <v>341</v>
      </c>
      <c r="B184" s="26">
        <v>1</v>
      </c>
      <c r="C184" s="24" t="s">
        <v>604</v>
      </c>
      <c r="D184" s="24" t="s">
        <v>633</v>
      </c>
      <c r="E184" s="26">
        <v>3.05</v>
      </c>
      <c r="F184" s="25" t="s">
        <v>343</v>
      </c>
      <c r="G184" s="26">
        <f>+E184*2.20462</f>
        <v>6.7240909999999987</v>
      </c>
    </row>
    <row r="185" spans="1:7" ht="15.75" customHeight="1">
      <c r="A185" s="24" t="s">
        <v>342</v>
      </c>
      <c r="B185" s="26"/>
      <c r="C185" s="24"/>
      <c r="D185" s="24"/>
      <c r="E185" s="26"/>
      <c r="F185" s="25"/>
      <c r="G185" s="26"/>
    </row>
    <row r="186" spans="1:7" ht="15.75" customHeight="1">
      <c r="A186" s="24" t="s">
        <v>344</v>
      </c>
      <c r="B186" s="26">
        <v>135</v>
      </c>
      <c r="C186" s="24" t="s">
        <v>604</v>
      </c>
      <c r="D186" s="24" t="s">
        <v>606</v>
      </c>
      <c r="E186" s="26">
        <v>45</v>
      </c>
      <c r="F186" s="25" t="s">
        <v>582</v>
      </c>
      <c r="G186" s="26">
        <f>+(E186/B186)*2.20462</f>
        <v>0.73487333333333327</v>
      </c>
    </row>
    <row r="187" spans="1:7" ht="15.75" customHeight="1">
      <c r="A187" s="24" t="s">
        <v>346</v>
      </c>
      <c r="B187" s="26">
        <v>1</v>
      </c>
      <c r="C187" s="24" t="s">
        <v>607</v>
      </c>
      <c r="D187" s="24" t="s">
        <v>608</v>
      </c>
      <c r="E187" s="26">
        <v>0.71530000000000005</v>
      </c>
      <c r="F187" s="25" t="s">
        <v>554</v>
      </c>
      <c r="G187" s="26">
        <f>+E187</f>
        <v>0.71530000000000005</v>
      </c>
    </row>
    <row r="188" spans="1:7" ht="15.75" customHeight="1">
      <c r="A188" s="24" t="s">
        <v>351</v>
      </c>
      <c r="B188" s="26">
        <v>4.4000000000000004</v>
      </c>
      <c r="C188" s="24" t="s">
        <v>604</v>
      </c>
      <c r="D188" s="24" t="s">
        <v>633</v>
      </c>
      <c r="E188" s="26">
        <v>2</v>
      </c>
      <c r="F188" s="25" t="s">
        <v>640</v>
      </c>
      <c r="G188" s="26">
        <f>+E188*2.20462</f>
        <v>4.4092399999999996</v>
      </c>
    </row>
    <row r="189" spans="1:7" ht="15.75" customHeight="1">
      <c r="A189" s="24" t="s">
        <v>352</v>
      </c>
      <c r="B189" s="26">
        <v>1</v>
      </c>
      <c r="C189" s="24" t="s">
        <v>607</v>
      </c>
      <c r="D189" s="24" t="s">
        <v>608</v>
      </c>
      <c r="E189" s="26">
        <v>0.67211264050414998</v>
      </c>
      <c r="F189" s="25" t="s">
        <v>613</v>
      </c>
      <c r="G189" s="26">
        <f>+E189</f>
        <v>0.67211264050414998</v>
      </c>
    </row>
    <row r="190" spans="1:7" ht="15.75" customHeight="1">
      <c r="A190" s="24" t="s">
        <v>353</v>
      </c>
      <c r="B190" s="26" t="s">
        <v>612</v>
      </c>
      <c r="C190" s="24"/>
      <c r="D190" s="24"/>
      <c r="E190" s="26"/>
      <c r="F190" s="25"/>
      <c r="G190" s="26"/>
    </row>
    <row r="191" spans="1:7" ht="15.75" customHeight="1">
      <c r="A191" s="24" t="s">
        <v>355</v>
      </c>
      <c r="B191" s="26">
        <v>20</v>
      </c>
      <c r="C191" s="24" t="s">
        <v>607</v>
      </c>
      <c r="D191" s="24" t="s">
        <v>608</v>
      </c>
      <c r="E191" s="26">
        <v>30.76</v>
      </c>
      <c r="F191" s="25" t="s">
        <v>583</v>
      </c>
      <c r="G191" s="26">
        <f>+E191</f>
        <v>30.76</v>
      </c>
    </row>
    <row r="192" spans="1:7" ht="15.75" customHeight="1">
      <c r="A192" s="24" t="s">
        <v>356</v>
      </c>
      <c r="B192" s="26"/>
      <c r="C192" s="24"/>
      <c r="D192" s="24"/>
      <c r="E192" s="26"/>
      <c r="F192" s="25"/>
      <c r="G192" s="26"/>
    </row>
    <row r="193" spans="1:7" ht="15.75" customHeight="1">
      <c r="A193" s="24" t="s">
        <v>357</v>
      </c>
      <c r="B193" s="26"/>
      <c r="C193" s="24"/>
      <c r="D193" s="24"/>
      <c r="E193" s="26"/>
      <c r="F193" s="25"/>
      <c r="G193" s="26"/>
    </row>
    <row r="194" spans="1:7" ht="15.75" customHeight="1">
      <c r="A194" s="24" t="s">
        <v>359</v>
      </c>
      <c r="B194" s="26">
        <v>1</v>
      </c>
      <c r="C194" s="24" t="s">
        <v>607</v>
      </c>
      <c r="D194" s="24" t="s">
        <v>608</v>
      </c>
      <c r="E194" s="26">
        <v>1.2231000000000001</v>
      </c>
      <c r="F194" s="25" t="s">
        <v>559</v>
      </c>
      <c r="G194" s="26">
        <f>+E194</f>
        <v>1.2231000000000001</v>
      </c>
    </row>
    <row r="195" spans="1:7" ht="15.75" customHeight="1">
      <c r="A195" s="24" t="s">
        <v>361</v>
      </c>
      <c r="B195" s="26"/>
      <c r="C195" s="24"/>
      <c r="D195" s="24"/>
      <c r="E195" s="26"/>
      <c r="F195" s="25"/>
      <c r="G195" s="26"/>
    </row>
    <row r="196" spans="1:7" ht="15.75" customHeight="1">
      <c r="A196" s="24" t="s">
        <v>363</v>
      </c>
      <c r="B196" s="26">
        <v>65</v>
      </c>
      <c r="C196" s="24" t="s">
        <v>604</v>
      </c>
      <c r="D196" s="24" t="s">
        <v>626</v>
      </c>
      <c r="E196" s="26">
        <v>5</v>
      </c>
      <c r="F196" s="25" t="s">
        <v>567</v>
      </c>
      <c r="G196" s="26">
        <f>+(E196/B196)*2.20462</f>
        <v>0.16958615384615383</v>
      </c>
    </row>
    <row r="197" spans="1:7" ht="15.75" customHeight="1">
      <c r="A197" s="24" t="s">
        <v>364</v>
      </c>
      <c r="B197" s="26">
        <v>1</v>
      </c>
      <c r="C197" s="24" t="s">
        <v>607</v>
      </c>
      <c r="D197" s="24" t="s">
        <v>608</v>
      </c>
      <c r="E197" s="26">
        <v>0.31403727301067702</v>
      </c>
      <c r="F197" s="25" t="s">
        <v>613</v>
      </c>
      <c r="G197" s="26">
        <f t="shared" ref="G197:G200" si="28">+E197</f>
        <v>0.31403727301067702</v>
      </c>
    </row>
    <row r="198" spans="1:7" ht="15.75" customHeight="1">
      <c r="A198" s="24" t="s">
        <v>365</v>
      </c>
      <c r="B198" s="26">
        <v>1</v>
      </c>
      <c r="C198" s="24" t="s">
        <v>607</v>
      </c>
      <c r="D198" s="24" t="s">
        <v>608</v>
      </c>
      <c r="E198" s="26"/>
      <c r="F198" s="25" t="s">
        <v>641</v>
      </c>
      <c r="G198" s="26">
        <f t="shared" si="28"/>
        <v>0</v>
      </c>
    </row>
    <row r="199" spans="1:7" ht="15.75" customHeight="1">
      <c r="A199" s="24" t="s">
        <v>366</v>
      </c>
      <c r="B199" s="26">
        <v>1</v>
      </c>
      <c r="C199" s="24" t="s">
        <v>607</v>
      </c>
      <c r="D199" s="24" t="s">
        <v>608</v>
      </c>
      <c r="E199" s="26">
        <v>1.30101693214193</v>
      </c>
      <c r="F199" s="25" t="s">
        <v>613</v>
      </c>
      <c r="G199" s="26">
        <f t="shared" si="28"/>
        <v>1.30101693214193</v>
      </c>
    </row>
    <row r="200" spans="1:7" ht="15.75" customHeight="1">
      <c r="A200" s="24" t="s">
        <v>367</v>
      </c>
      <c r="B200" s="26">
        <v>1</v>
      </c>
      <c r="C200" s="24" t="s">
        <v>607</v>
      </c>
      <c r="D200" s="24" t="s">
        <v>608</v>
      </c>
      <c r="E200" s="26">
        <v>0.96540000000000004</v>
      </c>
      <c r="F200" s="25" t="s">
        <v>554</v>
      </c>
      <c r="G200" s="26">
        <f t="shared" si="28"/>
        <v>0.96540000000000004</v>
      </c>
    </row>
    <row r="201" spans="1:7" ht="15.75" customHeight="1">
      <c r="A201" s="24" t="s">
        <v>370</v>
      </c>
      <c r="B201" s="26">
        <v>1</v>
      </c>
      <c r="C201" s="24" t="s">
        <v>604</v>
      </c>
      <c r="D201" s="24" t="s">
        <v>633</v>
      </c>
      <c r="E201" s="26">
        <v>1.5</v>
      </c>
      <c r="F201" s="27" t="s">
        <v>584</v>
      </c>
      <c r="G201" s="26">
        <f>+E201*2.20462</f>
        <v>3.3069299999999995</v>
      </c>
    </row>
    <row r="202" spans="1:7" ht="15.75" customHeight="1">
      <c r="A202" s="24" t="s">
        <v>372</v>
      </c>
      <c r="B202" s="26">
        <v>100</v>
      </c>
      <c r="C202" s="24" t="s">
        <v>604</v>
      </c>
      <c r="D202" s="24" t="s">
        <v>605</v>
      </c>
      <c r="E202" s="26">
        <v>12</v>
      </c>
      <c r="F202" s="25" t="s">
        <v>642</v>
      </c>
      <c r="G202" s="26">
        <f t="shared" ref="G202:G203" si="29">(E202/B202)*2.20462</f>
        <v>0.26455439999999997</v>
      </c>
    </row>
    <row r="203" spans="1:7" ht="15.75" customHeight="1">
      <c r="A203" s="24" t="s">
        <v>373</v>
      </c>
      <c r="B203" s="26">
        <v>100</v>
      </c>
      <c r="C203" s="24" t="s">
        <v>604</v>
      </c>
      <c r="D203" s="24" t="s">
        <v>605</v>
      </c>
      <c r="E203" s="26">
        <v>10.25</v>
      </c>
      <c r="F203" s="25" t="s">
        <v>569</v>
      </c>
      <c r="G203" s="26">
        <f t="shared" si="29"/>
        <v>0.22597354999999997</v>
      </c>
    </row>
    <row r="204" spans="1:7" ht="15.75" customHeight="1">
      <c r="A204" s="24" t="s">
        <v>374</v>
      </c>
      <c r="B204" s="26">
        <v>1</v>
      </c>
      <c r="C204" s="24" t="s">
        <v>607</v>
      </c>
      <c r="D204" s="24" t="s">
        <v>608</v>
      </c>
      <c r="E204" s="26">
        <v>18.12</v>
      </c>
      <c r="F204" s="25" t="s">
        <v>547</v>
      </c>
      <c r="G204" s="26">
        <f>+E204</f>
        <v>18.12</v>
      </c>
    </row>
    <row r="205" spans="1:7" ht="15.75" customHeight="1">
      <c r="A205" s="24" t="s">
        <v>375</v>
      </c>
      <c r="B205" s="26"/>
      <c r="C205" s="24"/>
      <c r="D205" s="24"/>
      <c r="E205" s="26"/>
      <c r="F205" s="25" t="s">
        <v>585</v>
      </c>
      <c r="G205" s="26">
        <f>(G8+G30+G78+G96+G127+G140+G156+G158+G204+G255)/10</f>
        <v>7.2110000000000012</v>
      </c>
    </row>
    <row r="206" spans="1:7" ht="15.75" customHeight="1">
      <c r="A206" s="24" t="s">
        <v>376</v>
      </c>
      <c r="B206" s="26"/>
      <c r="C206" s="24"/>
      <c r="D206" s="24"/>
      <c r="E206" s="26"/>
      <c r="F206" s="25" t="s">
        <v>586</v>
      </c>
      <c r="G206" s="26">
        <f>(G6+G16+G17+G29+G101+G102+G104+G108+G119+G120+G121+G132+G141+G150+G251+G252+G260+G262+G263+G278+G286+G287)/22</f>
        <v>6.013764837944664</v>
      </c>
    </row>
    <row r="207" spans="1:7" ht="15.75" customHeight="1">
      <c r="A207" s="24" t="s">
        <v>377</v>
      </c>
      <c r="B207" s="26">
        <v>100</v>
      </c>
      <c r="C207" s="24" t="s">
        <v>604</v>
      </c>
      <c r="D207" s="24" t="s">
        <v>605</v>
      </c>
      <c r="E207" s="26">
        <v>4</v>
      </c>
      <c r="F207" s="25" t="s">
        <v>569</v>
      </c>
      <c r="G207" s="26">
        <f>(E207/B207)*2.20462</f>
        <v>8.8184799999999994E-2</v>
      </c>
    </row>
    <row r="208" spans="1:7" ht="15.75" customHeight="1">
      <c r="A208" s="24" t="s">
        <v>378</v>
      </c>
      <c r="B208" s="26"/>
      <c r="C208" s="24"/>
      <c r="D208" s="24"/>
      <c r="E208" s="26"/>
      <c r="F208" s="25"/>
      <c r="G208" s="26"/>
    </row>
    <row r="209" spans="1:7" ht="15.75" customHeight="1">
      <c r="A209" s="24" t="s">
        <v>379</v>
      </c>
      <c r="B209" s="26"/>
      <c r="C209" s="24"/>
      <c r="D209" s="24"/>
      <c r="E209" s="26"/>
      <c r="F209" s="25"/>
      <c r="G209" s="26"/>
    </row>
    <row r="210" spans="1:7" ht="15.75" customHeight="1">
      <c r="A210" s="24" t="s">
        <v>380</v>
      </c>
      <c r="B210" s="26"/>
      <c r="C210" s="24"/>
      <c r="D210" s="24"/>
      <c r="E210" s="26"/>
      <c r="F210" s="25"/>
      <c r="G210" s="26"/>
    </row>
    <row r="211" spans="1:7" ht="15.75" customHeight="1">
      <c r="A211" s="24" t="s">
        <v>381</v>
      </c>
      <c r="B211" s="26"/>
      <c r="C211" s="24"/>
      <c r="D211" s="24"/>
      <c r="E211" s="26"/>
      <c r="F211" s="25"/>
      <c r="G211" s="26"/>
    </row>
    <row r="212" spans="1:7" ht="15.75" customHeight="1">
      <c r="A212" s="24" t="s">
        <v>382</v>
      </c>
      <c r="B212" s="26"/>
      <c r="C212" s="24"/>
      <c r="D212" s="24"/>
      <c r="E212" s="26"/>
      <c r="F212" s="25"/>
      <c r="G212" s="26"/>
    </row>
    <row r="213" spans="1:7" ht="15.75" customHeight="1">
      <c r="A213" s="24" t="s">
        <v>383</v>
      </c>
      <c r="B213" s="26">
        <v>1</v>
      </c>
      <c r="C213" s="24" t="s">
        <v>607</v>
      </c>
      <c r="D213" s="24" t="s">
        <v>608</v>
      </c>
      <c r="E213" s="26">
        <v>6.7796666666666701</v>
      </c>
      <c r="F213" s="25" t="s">
        <v>613</v>
      </c>
      <c r="G213" s="26">
        <f t="shared" ref="G213:G215" si="30">+E213</f>
        <v>6.7796666666666701</v>
      </c>
    </row>
    <row r="214" spans="1:7" ht="15.75" customHeight="1">
      <c r="A214" s="24" t="s">
        <v>384</v>
      </c>
      <c r="B214" s="26">
        <v>1</v>
      </c>
      <c r="C214" s="24" t="s">
        <v>607</v>
      </c>
      <c r="D214" s="24" t="s">
        <v>608</v>
      </c>
      <c r="E214" s="26">
        <v>0.24372760800521751</v>
      </c>
      <c r="F214" s="25" t="s">
        <v>643</v>
      </c>
      <c r="G214" s="26">
        <f t="shared" si="30"/>
        <v>0.24372760800521751</v>
      </c>
    </row>
    <row r="215" spans="1:7" ht="15.75" customHeight="1">
      <c r="A215" s="24" t="s">
        <v>388</v>
      </c>
      <c r="B215" s="26">
        <v>1</v>
      </c>
      <c r="C215" s="24" t="s">
        <v>607</v>
      </c>
      <c r="D215" s="24" t="s">
        <v>608</v>
      </c>
      <c r="E215" s="26">
        <v>0.32679999999999998</v>
      </c>
      <c r="F215" s="25" t="s">
        <v>643</v>
      </c>
      <c r="G215" s="26">
        <f t="shared" si="30"/>
        <v>0.32679999999999998</v>
      </c>
    </row>
    <row r="216" spans="1:7" ht="15.75" customHeight="1">
      <c r="A216" s="24" t="s">
        <v>391</v>
      </c>
      <c r="B216" s="26">
        <v>100</v>
      </c>
      <c r="C216" s="24" t="s">
        <v>604</v>
      </c>
      <c r="D216" s="24" t="s">
        <v>605</v>
      </c>
      <c r="E216" s="26">
        <v>17.82</v>
      </c>
      <c r="F216" s="25" t="s">
        <v>557</v>
      </c>
      <c r="G216" s="26">
        <f t="shared" ref="G216:G218" si="31">(E216/B216)*2.20462</f>
        <v>0.39286328399999998</v>
      </c>
    </row>
    <row r="217" spans="1:7" ht="15.75" customHeight="1">
      <c r="A217" s="24" t="s">
        <v>395</v>
      </c>
      <c r="B217" s="26">
        <v>100</v>
      </c>
      <c r="C217" s="24" t="s">
        <v>604</v>
      </c>
      <c r="D217" s="24" t="s">
        <v>605</v>
      </c>
      <c r="E217" s="26">
        <v>29</v>
      </c>
      <c r="F217" s="25" t="s">
        <v>569</v>
      </c>
      <c r="G217" s="26">
        <f t="shared" si="31"/>
        <v>0.6393397999999999</v>
      </c>
    </row>
    <row r="218" spans="1:7" ht="15.75" customHeight="1">
      <c r="A218" s="24" t="s">
        <v>399</v>
      </c>
      <c r="B218" s="26">
        <v>100</v>
      </c>
      <c r="C218" s="24" t="s">
        <v>604</v>
      </c>
      <c r="D218" s="24" t="s">
        <v>605</v>
      </c>
      <c r="E218" s="26">
        <v>17.010000000000002</v>
      </c>
      <c r="F218" s="25" t="s">
        <v>557</v>
      </c>
      <c r="G218" s="26">
        <f t="shared" si="31"/>
        <v>0.37500586200000002</v>
      </c>
    </row>
    <row r="219" spans="1:7" ht="15.75" customHeight="1">
      <c r="A219" s="24" t="s">
        <v>408</v>
      </c>
      <c r="B219" s="26">
        <v>1</v>
      </c>
      <c r="C219" s="24" t="s">
        <v>607</v>
      </c>
      <c r="D219" s="24" t="s">
        <v>608</v>
      </c>
      <c r="E219" s="26">
        <v>0.49130000000000001</v>
      </c>
      <c r="F219" s="25" t="s">
        <v>554</v>
      </c>
      <c r="G219" s="26">
        <f>+E219</f>
        <v>0.49130000000000001</v>
      </c>
    </row>
    <row r="220" spans="1:7" ht="15.75" customHeight="1">
      <c r="A220" s="24" t="s">
        <v>412</v>
      </c>
      <c r="B220" s="26"/>
      <c r="C220" s="24"/>
      <c r="D220" s="24"/>
      <c r="E220" s="26"/>
      <c r="F220" s="25"/>
      <c r="G220" s="26"/>
    </row>
    <row r="221" spans="1:7" ht="15.75" customHeight="1">
      <c r="A221" s="24" t="s">
        <v>413</v>
      </c>
      <c r="B221" s="26">
        <v>2.2000000000000002</v>
      </c>
      <c r="C221" s="24" t="s">
        <v>604</v>
      </c>
      <c r="D221" s="24" t="s">
        <v>608</v>
      </c>
      <c r="E221" s="26">
        <v>6.89</v>
      </c>
      <c r="F221" s="25" t="s">
        <v>587</v>
      </c>
      <c r="G221" s="26"/>
    </row>
    <row r="222" spans="1:7" ht="15.75" customHeight="1">
      <c r="A222" s="24" t="s">
        <v>415</v>
      </c>
      <c r="B222" s="26">
        <v>2.2000000000000002</v>
      </c>
      <c r="C222" s="24" t="s">
        <v>604</v>
      </c>
      <c r="D222" s="24" t="s">
        <v>608</v>
      </c>
      <c r="E222" s="26">
        <v>5.99</v>
      </c>
      <c r="F222" s="25" t="s">
        <v>587</v>
      </c>
      <c r="G222" s="26"/>
    </row>
    <row r="223" spans="1:7" ht="15.75" customHeight="1">
      <c r="A223" s="24" t="s">
        <v>416</v>
      </c>
      <c r="B223" s="26"/>
      <c r="C223" s="24"/>
      <c r="D223" s="24"/>
      <c r="E223" s="26"/>
      <c r="F223" s="25"/>
      <c r="G223" s="26"/>
    </row>
    <row r="224" spans="1:7" ht="15.75" customHeight="1">
      <c r="A224" s="24" t="s">
        <v>418</v>
      </c>
      <c r="B224" s="26">
        <v>2.2000000000000002</v>
      </c>
      <c r="C224" s="24" t="s">
        <v>604</v>
      </c>
      <c r="D224" s="24" t="s">
        <v>608</v>
      </c>
      <c r="E224" s="26"/>
      <c r="F224" s="25"/>
      <c r="G224" s="26"/>
    </row>
    <row r="225" spans="1:7" ht="15.75" customHeight="1">
      <c r="A225" s="24" t="s">
        <v>419</v>
      </c>
      <c r="B225" s="26">
        <v>2.2000000000000002</v>
      </c>
      <c r="C225" s="24" t="s">
        <v>604</v>
      </c>
      <c r="D225" s="24" t="s">
        <v>608</v>
      </c>
      <c r="E225" s="26">
        <v>5.16</v>
      </c>
      <c r="F225" s="25" t="s">
        <v>587</v>
      </c>
      <c r="G225" s="26"/>
    </row>
    <row r="226" spans="1:7" ht="15.75" customHeight="1">
      <c r="A226" s="24" t="s">
        <v>421</v>
      </c>
      <c r="B226" s="26"/>
      <c r="C226" s="24"/>
      <c r="D226" s="24"/>
      <c r="E226" s="26"/>
      <c r="F226" s="25"/>
      <c r="G226" s="26"/>
    </row>
    <row r="227" spans="1:7" ht="15.75" customHeight="1">
      <c r="A227" s="24" t="s">
        <v>422</v>
      </c>
      <c r="B227" s="26" t="s">
        <v>612</v>
      </c>
      <c r="C227" s="24"/>
      <c r="D227" s="24"/>
      <c r="E227" s="26"/>
      <c r="F227" s="25"/>
      <c r="G227" s="26"/>
    </row>
    <row r="228" spans="1:7" ht="15.75" customHeight="1">
      <c r="A228" s="24" t="s">
        <v>424</v>
      </c>
      <c r="B228" s="26" t="s">
        <v>612</v>
      </c>
      <c r="C228" s="24"/>
      <c r="D228" s="24"/>
      <c r="E228" s="26"/>
      <c r="F228" s="25"/>
      <c r="G228" s="26"/>
    </row>
    <row r="229" spans="1:7" ht="15.75" customHeight="1">
      <c r="A229" s="24" t="s">
        <v>426</v>
      </c>
      <c r="B229" s="26">
        <v>1</v>
      </c>
      <c r="C229" s="24" t="s">
        <v>607</v>
      </c>
      <c r="D229" s="24" t="s">
        <v>608</v>
      </c>
      <c r="E229" s="26">
        <v>0.40720000000000001</v>
      </c>
      <c r="F229" s="25" t="s">
        <v>554</v>
      </c>
      <c r="G229" s="26">
        <f t="shared" ref="G229:G230" si="32">+E229</f>
        <v>0.40720000000000001</v>
      </c>
    </row>
    <row r="230" spans="1:7" ht="15.75" customHeight="1">
      <c r="A230" s="24" t="s">
        <v>428</v>
      </c>
      <c r="B230" s="26">
        <v>1</v>
      </c>
      <c r="C230" s="24" t="s">
        <v>607</v>
      </c>
      <c r="D230" s="24" t="s">
        <v>608</v>
      </c>
      <c r="E230" s="26">
        <v>0.3377</v>
      </c>
      <c r="F230" s="25" t="s">
        <v>554</v>
      </c>
      <c r="G230" s="26">
        <f t="shared" si="32"/>
        <v>0.3377</v>
      </c>
    </row>
    <row r="231" spans="1:7" ht="15.75" customHeight="1">
      <c r="A231" s="24" t="s">
        <v>429</v>
      </c>
      <c r="B231" s="26"/>
      <c r="C231" s="24"/>
      <c r="D231" s="24"/>
      <c r="E231" s="26"/>
      <c r="F231" s="25"/>
      <c r="G231" s="26"/>
    </row>
    <row r="232" spans="1:7" ht="15.75" customHeight="1">
      <c r="A232" s="24" t="s">
        <v>431</v>
      </c>
      <c r="B232" s="26">
        <v>35</v>
      </c>
      <c r="C232" s="24" t="s">
        <v>604</v>
      </c>
      <c r="D232" s="24" t="s">
        <v>626</v>
      </c>
      <c r="E232" s="26">
        <v>2</v>
      </c>
      <c r="F232" s="25" t="s">
        <v>567</v>
      </c>
      <c r="G232" s="26">
        <f>+(E232/B232)*2.20462</f>
        <v>0.12597828571428571</v>
      </c>
    </row>
    <row r="233" spans="1:7" ht="15.75" customHeight="1">
      <c r="A233" s="24" t="s">
        <v>432</v>
      </c>
      <c r="B233" s="26">
        <v>50</v>
      </c>
      <c r="C233" s="24" t="s">
        <v>604</v>
      </c>
      <c r="D233" s="24"/>
      <c r="E233" s="26">
        <v>10</v>
      </c>
      <c r="F233" s="25" t="s">
        <v>546</v>
      </c>
      <c r="G233" s="26">
        <v>10</v>
      </c>
    </row>
    <row r="234" spans="1:7" ht="15.75" customHeight="1">
      <c r="A234" s="24" t="s">
        <v>433</v>
      </c>
      <c r="B234" s="26">
        <v>50</v>
      </c>
      <c r="C234" s="24" t="s">
        <v>604</v>
      </c>
      <c r="D234" s="24"/>
      <c r="E234" s="26">
        <v>10</v>
      </c>
      <c r="F234" s="25" t="s">
        <v>546</v>
      </c>
      <c r="G234" s="26">
        <v>10</v>
      </c>
    </row>
    <row r="235" spans="1:7" ht="15.75" customHeight="1">
      <c r="A235" s="24" t="s">
        <v>434</v>
      </c>
      <c r="B235" s="26">
        <v>1</v>
      </c>
      <c r="C235" s="24" t="s">
        <v>607</v>
      </c>
      <c r="D235" s="24" t="s">
        <v>608</v>
      </c>
      <c r="E235" s="26">
        <v>0.73313883744585495</v>
      </c>
      <c r="F235" s="25" t="s">
        <v>613</v>
      </c>
      <c r="G235" s="26">
        <f t="shared" ref="G235:G237" si="33">+E235</f>
        <v>0.73313883744585495</v>
      </c>
    </row>
    <row r="236" spans="1:7" ht="15.75" customHeight="1">
      <c r="A236" s="24" t="s">
        <v>435</v>
      </c>
      <c r="B236" s="26">
        <v>1</v>
      </c>
      <c r="C236" s="24" t="s">
        <v>607</v>
      </c>
      <c r="D236" s="24" t="s">
        <v>608</v>
      </c>
      <c r="E236" s="26">
        <v>0.52498053246989396</v>
      </c>
      <c r="F236" s="25" t="s">
        <v>613</v>
      </c>
      <c r="G236" s="26">
        <f t="shared" si="33"/>
        <v>0.52498053246989396</v>
      </c>
    </row>
    <row r="237" spans="1:7" ht="15.75" customHeight="1">
      <c r="A237" s="24" t="s">
        <v>438</v>
      </c>
      <c r="B237" s="26">
        <v>1</v>
      </c>
      <c r="C237" s="24" t="s">
        <v>607</v>
      </c>
      <c r="D237" s="24" t="s">
        <v>608</v>
      </c>
      <c r="E237" s="26">
        <v>3.31</v>
      </c>
      <c r="F237" s="25" t="s">
        <v>643</v>
      </c>
      <c r="G237" s="26">
        <f t="shared" si="33"/>
        <v>3.31</v>
      </c>
    </row>
    <row r="238" spans="1:7" ht="15.75" customHeight="1">
      <c r="A238" s="24" t="s">
        <v>439</v>
      </c>
      <c r="B238" s="26"/>
      <c r="C238" s="24"/>
      <c r="D238" s="24"/>
      <c r="E238" s="26"/>
      <c r="F238" s="25"/>
      <c r="G238" s="26"/>
    </row>
    <row r="239" spans="1:7" ht="15.75" customHeight="1">
      <c r="A239" s="24" t="s">
        <v>440</v>
      </c>
      <c r="B239" s="26"/>
      <c r="C239" s="24"/>
      <c r="D239" s="24"/>
      <c r="E239" s="26"/>
      <c r="F239" s="25"/>
      <c r="G239" s="26"/>
    </row>
    <row r="240" spans="1:7" ht="15.75" customHeight="1">
      <c r="A240" s="24" t="s">
        <v>441</v>
      </c>
      <c r="B240" s="26"/>
      <c r="C240" s="24"/>
      <c r="D240" s="24"/>
      <c r="E240" s="26"/>
      <c r="F240" s="25" t="s">
        <v>644</v>
      </c>
      <c r="G240" s="26">
        <f>+(G241+G242)/2</f>
        <v>0.18845000000000001</v>
      </c>
    </row>
    <row r="241" spans="1:8" ht="15.75" customHeight="1">
      <c r="A241" s="24" t="s">
        <v>442</v>
      </c>
      <c r="B241" s="26">
        <v>1</v>
      </c>
      <c r="C241" s="24" t="s">
        <v>607</v>
      </c>
      <c r="D241" s="24" t="s">
        <v>608</v>
      </c>
      <c r="E241" s="26">
        <v>8.6900000000000005E-2</v>
      </c>
      <c r="F241" s="27" t="s">
        <v>559</v>
      </c>
      <c r="G241" s="26">
        <f t="shared" ref="G241:G245" si="34">+E241</f>
        <v>8.6900000000000005E-2</v>
      </c>
    </row>
    <row r="242" spans="1:8" ht="15.75" customHeight="1">
      <c r="A242" s="24" t="s">
        <v>443</v>
      </c>
      <c r="B242" s="26">
        <v>1</v>
      </c>
      <c r="C242" s="24" t="s">
        <v>607</v>
      </c>
      <c r="D242" s="24" t="s">
        <v>608</v>
      </c>
      <c r="E242" s="26">
        <v>0.28999999999999998</v>
      </c>
      <c r="F242" s="27" t="s">
        <v>559</v>
      </c>
      <c r="G242" s="26">
        <f t="shared" si="34"/>
        <v>0.28999999999999998</v>
      </c>
    </row>
    <row r="243" spans="1:8" ht="15.75" customHeight="1">
      <c r="A243" s="24" t="s">
        <v>452</v>
      </c>
      <c r="B243" s="26">
        <v>1</v>
      </c>
      <c r="C243" s="24" t="s">
        <v>607</v>
      </c>
      <c r="D243" s="24" t="s">
        <v>608</v>
      </c>
      <c r="E243" s="26">
        <v>1.8595999999999999</v>
      </c>
      <c r="F243" s="25" t="s">
        <v>564</v>
      </c>
      <c r="G243" s="26">
        <f t="shared" si="34"/>
        <v>1.8595999999999999</v>
      </c>
    </row>
    <row r="244" spans="1:8" ht="15.75" customHeight="1">
      <c r="A244" s="24" t="s">
        <v>456</v>
      </c>
      <c r="B244" s="26">
        <v>1</v>
      </c>
      <c r="C244" s="24" t="s">
        <v>607</v>
      </c>
      <c r="D244" s="24" t="s">
        <v>608</v>
      </c>
      <c r="E244" s="26">
        <v>1.8595999999999999</v>
      </c>
      <c r="F244" s="25" t="s">
        <v>564</v>
      </c>
      <c r="G244" s="26">
        <f t="shared" si="34"/>
        <v>1.8595999999999999</v>
      </c>
    </row>
    <row r="245" spans="1:8" ht="15.75" customHeight="1">
      <c r="A245" s="24" t="s">
        <v>457</v>
      </c>
      <c r="B245" s="26">
        <v>1</v>
      </c>
      <c r="C245" s="24" t="s">
        <v>607</v>
      </c>
      <c r="D245" s="24" t="s">
        <v>608</v>
      </c>
      <c r="E245" s="26">
        <v>3.9746018518518502</v>
      </c>
      <c r="F245" s="25" t="s">
        <v>613</v>
      </c>
      <c r="G245" s="26">
        <f t="shared" si="34"/>
        <v>3.9746018518518502</v>
      </c>
    </row>
    <row r="246" spans="1:8" ht="15.75" customHeight="1">
      <c r="A246" s="24" t="s">
        <v>459</v>
      </c>
      <c r="B246" s="26"/>
      <c r="C246" s="24"/>
      <c r="D246" s="24"/>
      <c r="E246" s="26"/>
      <c r="F246" s="25"/>
      <c r="G246" s="26"/>
    </row>
    <row r="247" spans="1:8" ht="15.75" customHeight="1">
      <c r="A247" s="24" t="s">
        <v>462</v>
      </c>
      <c r="B247" s="26">
        <v>1</v>
      </c>
      <c r="C247" s="24" t="s">
        <v>607</v>
      </c>
      <c r="D247" s="24" t="s">
        <v>608</v>
      </c>
      <c r="E247" s="26">
        <v>1.7515985915493</v>
      </c>
      <c r="F247" s="25" t="s">
        <v>613</v>
      </c>
      <c r="G247" s="26">
        <f t="shared" ref="G247:G248" si="35">+E247</f>
        <v>1.7515985915493</v>
      </c>
    </row>
    <row r="248" spans="1:8" ht="15.75" customHeight="1">
      <c r="A248" s="24" t="s">
        <v>463</v>
      </c>
      <c r="B248" s="26">
        <v>0.5</v>
      </c>
      <c r="C248" s="24" t="s">
        <v>607</v>
      </c>
      <c r="D248" s="24" t="s">
        <v>608</v>
      </c>
      <c r="E248" s="26">
        <v>0.4</v>
      </c>
      <c r="F248" s="25" t="s">
        <v>645</v>
      </c>
      <c r="G248" s="26">
        <f t="shared" si="35"/>
        <v>0.4</v>
      </c>
    </row>
    <row r="249" spans="1:8" ht="15.75" customHeight="1">
      <c r="A249" s="24" t="s">
        <v>464</v>
      </c>
      <c r="B249" s="26">
        <v>85</v>
      </c>
      <c r="C249" s="24" t="s">
        <v>604</v>
      </c>
      <c r="D249" s="24" t="s">
        <v>606</v>
      </c>
      <c r="E249" s="26">
        <v>5</v>
      </c>
      <c r="F249" s="25" t="s">
        <v>567</v>
      </c>
      <c r="G249" s="26">
        <f>+(E249/B249)*2.20462</f>
        <v>0.1296835294117647</v>
      </c>
    </row>
    <row r="250" spans="1:8" ht="15.75" customHeight="1">
      <c r="A250" s="24" t="s">
        <v>465</v>
      </c>
      <c r="B250" s="26">
        <v>1</v>
      </c>
      <c r="C250" s="24" t="s">
        <v>604</v>
      </c>
      <c r="D250" s="24" t="s">
        <v>646</v>
      </c>
      <c r="E250" s="26">
        <v>1.5</v>
      </c>
      <c r="F250" s="25" t="s">
        <v>588</v>
      </c>
      <c r="G250" s="26">
        <f>+E250*2.20462</f>
        <v>3.3069299999999995</v>
      </c>
    </row>
    <row r="251" spans="1:8" ht="15.75" customHeight="1">
      <c r="A251" s="24" t="s">
        <v>466</v>
      </c>
      <c r="B251" s="26">
        <v>20</v>
      </c>
      <c r="C251" s="24" t="s">
        <v>629</v>
      </c>
      <c r="D251" s="24" t="s">
        <v>617</v>
      </c>
      <c r="E251" s="26">
        <v>20</v>
      </c>
      <c r="F251" s="25" t="s">
        <v>589</v>
      </c>
      <c r="G251" s="26">
        <f t="shared" ref="G251:G252" si="36">0.4*2.20462</f>
        <v>0.88184799999999997</v>
      </c>
      <c r="H251" s="2" t="s">
        <v>647</v>
      </c>
    </row>
    <row r="252" spans="1:8" ht="15.75" customHeight="1">
      <c r="A252" s="24" t="s">
        <v>467</v>
      </c>
      <c r="B252" s="26">
        <f t="shared" ref="B252:F252" si="37">+B251</f>
        <v>20</v>
      </c>
      <c r="C252" s="24" t="str">
        <f t="shared" si="37"/>
        <v>Unidades</v>
      </c>
      <c r="D252" s="24" t="str">
        <f t="shared" si="37"/>
        <v>Caja</v>
      </c>
      <c r="E252" s="26">
        <f t="shared" si="37"/>
        <v>20</v>
      </c>
      <c r="F252" s="28" t="str">
        <f t="shared" si="37"/>
        <v>https://rosaprimaec.com/products/ranunculos_rosso</v>
      </c>
      <c r="G252" s="26">
        <f t="shared" si="36"/>
        <v>0.88184799999999997</v>
      </c>
    </row>
    <row r="253" spans="1:8" ht="15.75" customHeight="1">
      <c r="A253" s="24" t="s">
        <v>468</v>
      </c>
      <c r="B253" s="26">
        <v>1</v>
      </c>
      <c r="C253" s="24" t="s">
        <v>607</v>
      </c>
      <c r="D253" s="24" t="s">
        <v>608</v>
      </c>
      <c r="E253" s="26">
        <v>0.29036100507679502</v>
      </c>
      <c r="F253" s="25" t="s">
        <v>613</v>
      </c>
      <c r="G253" s="26">
        <f>+E253</f>
        <v>0.29036100507679502</v>
      </c>
    </row>
    <row r="254" spans="1:8" ht="15.75" customHeight="1">
      <c r="A254" s="24" t="s">
        <v>469</v>
      </c>
      <c r="B254" s="26">
        <v>500</v>
      </c>
      <c r="C254" s="24" t="s">
        <v>609</v>
      </c>
      <c r="D254" s="24" t="s">
        <v>608</v>
      </c>
      <c r="E254" s="26">
        <v>1.25</v>
      </c>
      <c r="F254" s="25" t="s">
        <v>470</v>
      </c>
      <c r="G254" s="26"/>
    </row>
    <row r="255" spans="1:8" ht="15.75" customHeight="1">
      <c r="A255" s="24" t="s">
        <v>471</v>
      </c>
      <c r="B255" s="26">
        <v>1</v>
      </c>
      <c r="C255" s="24" t="s">
        <v>607</v>
      </c>
      <c r="D255" s="24" t="s">
        <v>608</v>
      </c>
      <c r="E255" s="26">
        <v>5.92</v>
      </c>
      <c r="F255" s="25" t="s">
        <v>547</v>
      </c>
      <c r="G255" s="26">
        <f>+E255</f>
        <v>5.92</v>
      </c>
    </row>
    <row r="256" spans="1:8" ht="15.75" customHeight="1">
      <c r="A256" s="24" t="s">
        <v>472</v>
      </c>
      <c r="B256" s="26">
        <v>1.21</v>
      </c>
      <c r="C256" s="24" t="s">
        <v>604</v>
      </c>
      <c r="D256" s="24" t="s">
        <v>608</v>
      </c>
      <c r="E256" s="26">
        <v>0.69</v>
      </c>
      <c r="F256" s="25" t="s">
        <v>590</v>
      </c>
      <c r="G256" s="26"/>
    </row>
    <row r="257" spans="1:7" ht="15.75" customHeight="1">
      <c r="A257" s="24" t="s">
        <v>474</v>
      </c>
      <c r="B257" s="26">
        <v>2.2000000000000002</v>
      </c>
      <c r="C257" s="24" t="s">
        <v>604</v>
      </c>
      <c r="D257" s="24" t="s">
        <v>608</v>
      </c>
      <c r="E257" s="26">
        <v>35</v>
      </c>
      <c r="F257" s="25" t="s">
        <v>417</v>
      </c>
      <c r="G257" s="26"/>
    </row>
    <row r="258" spans="1:7" ht="15.75" customHeight="1">
      <c r="A258" s="24" t="s">
        <v>476</v>
      </c>
      <c r="B258" s="26">
        <v>100</v>
      </c>
      <c r="C258" s="24" t="s">
        <v>629</v>
      </c>
      <c r="D258" s="24" t="s">
        <v>600</v>
      </c>
      <c r="E258" s="26">
        <v>20</v>
      </c>
      <c r="F258" s="25" t="s">
        <v>591</v>
      </c>
      <c r="G258" s="26">
        <f>+E258/B258</f>
        <v>0.2</v>
      </c>
    </row>
    <row r="259" spans="1:7" ht="15.75" customHeight="1">
      <c r="A259" s="24" t="s">
        <v>477</v>
      </c>
      <c r="B259" s="26">
        <v>437.58</v>
      </c>
      <c r="C259" s="24" t="s">
        <v>604</v>
      </c>
      <c r="D259" s="24" t="s">
        <v>600</v>
      </c>
      <c r="E259" s="26">
        <v>72.973500000000001</v>
      </c>
      <c r="F259" s="25" t="s">
        <v>554</v>
      </c>
      <c r="G259" s="26">
        <f>+(E259/B259)*2.20462</f>
        <v>0.36765582880844644</v>
      </c>
    </row>
    <row r="260" spans="1:7" ht="15.75" customHeight="1">
      <c r="A260" s="24" t="s">
        <v>480</v>
      </c>
      <c r="B260" s="26">
        <v>1</v>
      </c>
      <c r="C260" s="24" t="s">
        <v>607</v>
      </c>
      <c r="D260" s="24" t="s">
        <v>608</v>
      </c>
      <c r="E260" s="26">
        <v>6.24</v>
      </c>
      <c r="F260" s="25" t="s">
        <v>547</v>
      </c>
      <c r="G260" s="26">
        <f>+E260</f>
        <v>6.24</v>
      </c>
    </row>
    <row r="261" spans="1:7" ht="15.75" customHeight="1">
      <c r="A261" s="24" t="s">
        <v>481</v>
      </c>
      <c r="B261" s="26"/>
      <c r="C261" s="24"/>
      <c r="D261" s="24"/>
      <c r="E261" s="26"/>
      <c r="F261" s="25"/>
      <c r="G261" s="26"/>
    </row>
    <row r="262" spans="1:7" ht="15.75" customHeight="1">
      <c r="A262" s="24" t="s">
        <v>483</v>
      </c>
      <c r="B262" s="26">
        <v>1</v>
      </c>
      <c r="C262" s="24" t="s">
        <v>607</v>
      </c>
      <c r="D262" s="24" t="s">
        <v>608</v>
      </c>
      <c r="E262" s="26">
        <v>6.24</v>
      </c>
      <c r="F262" s="25" t="s">
        <v>547</v>
      </c>
      <c r="G262" s="26">
        <f t="shared" ref="G262:G263" si="38">+E262</f>
        <v>6.24</v>
      </c>
    </row>
    <row r="263" spans="1:7" ht="15.75" customHeight="1">
      <c r="A263" s="24" t="s">
        <v>484</v>
      </c>
      <c r="B263" s="26">
        <v>1</v>
      </c>
      <c r="C263" s="24" t="s">
        <v>607</v>
      </c>
      <c r="D263" s="24" t="s">
        <v>608</v>
      </c>
      <c r="E263" s="26">
        <v>6.24</v>
      </c>
      <c r="F263" s="25" t="s">
        <v>547</v>
      </c>
      <c r="G263" s="26">
        <f t="shared" si="38"/>
        <v>6.24</v>
      </c>
    </row>
    <row r="264" spans="1:7" ht="15.75" customHeight="1">
      <c r="A264" s="24" t="s">
        <v>485</v>
      </c>
      <c r="B264" s="26">
        <v>2.2000000000000002</v>
      </c>
      <c r="C264" s="24" t="s">
        <v>604</v>
      </c>
      <c r="D264" s="24" t="s">
        <v>608</v>
      </c>
      <c r="E264" s="26">
        <v>20</v>
      </c>
      <c r="F264" s="25" t="s">
        <v>592</v>
      </c>
      <c r="G264" s="26"/>
    </row>
    <row r="265" spans="1:7" ht="15.75" customHeight="1">
      <c r="A265" s="24" t="s">
        <v>486</v>
      </c>
      <c r="B265" s="26">
        <v>1</v>
      </c>
      <c r="C265" s="24" t="s">
        <v>607</v>
      </c>
      <c r="D265" s="24" t="s">
        <v>608</v>
      </c>
      <c r="E265" s="26">
        <v>0.5514</v>
      </c>
      <c r="F265" s="25" t="s">
        <v>552</v>
      </c>
      <c r="G265" s="26">
        <f>+E265</f>
        <v>0.5514</v>
      </c>
    </row>
    <row r="266" spans="1:7" ht="15.75" customHeight="1">
      <c r="A266" s="24" t="s">
        <v>487</v>
      </c>
      <c r="B266" s="26">
        <v>100</v>
      </c>
      <c r="C266" s="24" t="s">
        <v>604</v>
      </c>
      <c r="D266" s="24" t="s">
        <v>605</v>
      </c>
      <c r="E266" s="26">
        <v>27.5</v>
      </c>
      <c r="F266" s="25" t="s">
        <v>571</v>
      </c>
      <c r="G266" s="26">
        <f>(E266/B266)*2.20462</f>
        <v>0.60627050000000005</v>
      </c>
    </row>
    <row r="267" spans="1:7" ht="15.75" customHeight="1">
      <c r="A267" s="24" t="s">
        <v>488</v>
      </c>
      <c r="B267" s="26">
        <v>2.2000000000000002</v>
      </c>
      <c r="C267" s="24" t="s">
        <v>604</v>
      </c>
      <c r="D267" s="24" t="s">
        <v>608</v>
      </c>
      <c r="E267" s="26">
        <v>15.35</v>
      </c>
      <c r="F267" s="25" t="s">
        <v>571</v>
      </c>
      <c r="G267" s="26"/>
    </row>
    <row r="268" spans="1:7" ht="15.75" customHeight="1">
      <c r="A268" s="24" t="s">
        <v>489</v>
      </c>
      <c r="B268" s="26"/>
      <c r="C268" s="24"/>
      <c r="D268" s="24"/>
      <c r="E268" s="26"/>
      <c r="F268" s="25"/>
      <c r="G268" s="26"/>
    </row>
    <row r="269" spans="1:7" ht="15.75" customHeight="1">
      <c r="A269" s="24" t="s">
        <v>491</v>
      </c>
      <c r="B269" s="26">
        <v>9</v>
      </c>
      <c r="C269" s="24" t="s">
        <v>604</v>
      </c>
      <c r="D269" s="24"/>
      <c r="E269" s="26">
        <v>5</v>
      </c>
      <c r="F269" s="25" t="s">
        <v>546</v>
      </c>
      <c r="G269" s="26">
        <v>5</v>
      </c>
    </row>
    <row r="270" spans="1:7" ht="15.75" customHeight="1">
      <c r="A270" s="24" t="s">
        <v>492</v>
      </c>
      <c r="B270" s="26">
        <v>1</v>
      </c>
      <c r="C270" s="24" t="s">
        <v>604</v>
      </c>
      <c r="D270" s="24" t="s">
        <v>633</v>
      </c>
      <c r="E270" s="26">
        <v>7</v>
      </c>
      <c r="F270" s="25" t="s">
        <v>593</v>
      </c>
      <c r="G270" s="26">
        <f>+E270*2.20462</f>
        <v>15.432339999999998</v>
      </c>
    </row>
    <row r="271" spans="1:7" ht="15.75" customHeight="1">
      <c r="A271" s="24" t="s">
        <v>493</v>
      </c>
      <c r="B271" s="26">
        <v>2.2000000000000002</v>
      </c>
      <c r="C271" s="24" t="s">
        <v>604</v>
      </c>
      <c r="D271" s="24" t="s">
        <v>608</v>
      </c>
      <c r="E271" s="26">
        <v>1.6</v>
      </c>
      <c r="F271" s="25" t="s">
        <v>553</v>
      </c>
      <c r="G271" s="26"/>
    </row>
    <row r="272" spans="1:7" ht="15.75" customHeight="1">
      <c r="A272" s="24" t="s">
        <v>494</v>
      </c>
      <c r="B272" s="26">
        <v>1</v>
      </c>
      <c r="C272" s="24" t="s">
        <v>607</v>
      </c>
      <c r="D272" s="24" t="s">
        <v>608</v>
      </c>
      <c r="E272" s="26">
        <v>1.1036999932521501</v>
      </c>
      <c r="F272" s="25" t="s">
        <v>613</v>
      </c>
      <c r="G272" s="26">
        <f>+E272</f>
        <v>1.1036999932521501</v>
      </c>
    </row>
    <row r="273" spans="1:8" ht="15.75" customHeight="1">
      <c r="A273" s="24" t="s">
        <v>495</v>
      </c>
      <c r="B273" s="26">
        <v>2.2000000000000002</v>
      </c>
      <c r="C273" s="24" t="s">
        <v>604</v>
      </c>
      <c r="D273" s="24" t="s">
        <v>608</v>
      </c>
      <c r="E273" s="26">
        <v>0.61</v>
      </c>
      <c r="F273" s="25" t="s">
        <v>553</v>
      </c>
      <c r="G273" s="26"/>
    </row>
    <row r="274" spans="1:8" ht="15.75" customHeight="1">
      <c r="A274" s="24" t="s">
        <v>496</v>
      </c>
      <c r="B274" s="26">
        <v>35</v>
      </c>
      <c r="C274" s="24" t="s">
        <v>604</v>
      </c>
      <c r="D274" s="24" t="s">
        <v>617</v>
      </c>
      <c r="E274" s="26">
        <v>7.05</v>
      </c>
      <c r="F274" s="25" t="s">
        <v>557</v>
      </c>
      <c r="G274" s="26">
        <v>0.44407345714285712</v>
      </c>
    </row>
    <row r="275" spans="1:8" ht="15.75" customHeight="1">
      <c r="A275" s="24" t="s">
        <v>499</v>
      </c>
      <c r="B275" s="26">
        <v>45324</v>
      </c>
      <c r="C275" s="24" t="s">
        <v>604</v>
      </c>
      <c r="D275" s="24" t="s">
        <v>608</v>
      </c>
      <c r="E275" s="26">
        <v>3</v>
      </c>
      <c r="F275" s="25" t="s">
        <v>594</v>
      </c>
      <c r="G275" s="26"/>
    </row>
    <row r="276" spans="1:8" ht="15.75" customHeight="1">
      <c r="A276" s="24" t="s">
        <v>501</v>
      </c>
      <c r="B276" s="26">
        <v>1</v>
      </c>
      <c r="C276" s="24" t="s">
        <v>607</v>
      </c>
      <c r="D276" s="24" t="s">
        <v>608</v>
      </c>
      <c r="E276" s="26">
        <v>1.6770833333333299</v>
      </c>
      <c r="F276" s="25" t="s">
        <v>613</v>
      </c>
      <c r="G276" s="26">
        <f>+E276</f>
        <v>1.6770833333333299</v>
      </c>
    </row>
    <row r="277" spans="1:8" ht="15.75" customHeight="1">
      <c r="A277" s="24" t="s">
        <v>502</v>
      </c>
      <c r="B277" s="26">
        <v>1</v>
      </c>
      <c r="C277" s="24" t="s">
        <v>629</v>
      </c>
      <c r="D277" s="24" t="s">
        <v>600</v>
      </c>
      <c r="E277" s="26">
        <v>0.33</v>
      </c>
      <c r="F277" s="25" t="s">
        <v>595</v>
      </c>
      <c r="G277" s="26">
        <f>+E277*2.20462*4</f>
        <v>2.9100983999999999</v>
      </c>
    </row>
    <row r="278" spans="1:8" ht="15.75" customHeight="1">
      <c r="A278" s="24" t="s">
        <v>505</v>
      </c>
      <c r="B278" s="26">
        <v>1</v>
      </c>
      <c r="C278" s="24" t="s">
        <v>607</v>
      </c>
      <c r="D278" s="24" t="s">
        <v>608</v>
      </c>
      <c r="E278" s="26">
        <v>6.24</v>
      </c>
      <c r="F278" s="25" t="s">
        <v>547</v>
      </c>
      <c r="G278" s="26">
        <f>+E278</f>
        <v>6.24</v>
      </c>
    </row>
    <row r="279" spans="1:8" ht="15.75" customHeight="1">
      <c r="A279" s="24" t="s">
        <v>506</v>
      </c>
      <c r="B279" s="26">
        <v>1</v>
      </c>
      <c r="C279" s="24" t="s">
        <v>604</v>
      </c>
      <c r="D279" s="24" t="s">
        <v>633</v>
      </c>
      <c r="E279" s="26">
        <v>12</v>
      </c>
      <c r="F279" s="25" t="s">
        <v>587</v>
      </c>
      <c r="G279" s="26">
        <f>+E279*2.20462</f>
        <v>26.455439999999996</v>
      </c>
    </row>
    <row r="280" spans="1:8" ht="15.75" customHeight="1">
      <c r="A280" s="24" t="s">
        <v>507</v>
      </c>
      <c r="B280" s="26">
        <v>300</v>
      </c>
      <c r="C280" s="24" t="s">
        <v>609</v>
      </c>
      <c r="D280" s="24" t="s">
        <v>648</v>
      </c>
      <c r="E280" s="26">
        <v>3</v>
      </c>
      <c r="F280" s="25" t="s">
        <v>596</v>
      </c>
      <c r="G280" s="26">
        <f>+(E280/B280)*1000</f>
        <v>10</v>
      </c>
    </row>
    <row r="281" spans="1:8" ht="15.75" customHeight="1">
      <c r="A281" s="24" t="s">
        <v>508</v>
      </c>
      <c r="B281" s="26">
        <v>1</v>
      </c>
      <c r="C281" s="24" t="s">
        <v>607</v>
      </c>
      <c r="D281" s="24" t="s">
        <v>608</v>
      </c>
      <c r="E281" s="26">
        <v>0.55300000000000005</v>
      </c>
      <c r="F281" s="25" t="s">
        <v>551</v>
      </c>
      <c r="G281" s="26">
        <f>+E281</f>
        <v>0.55300000000000005</v>
      </c>
    </row>
    <row r="282" spans="1:8" ht="15.75" customHeight="1">
      <c r="A282" s="24" t="s">
        <v>512</v>
      </c>
      <c r="B282" s="26">
        <v>50</v>
      </c>
      <c r="C282" s="24" t="s">
        <v>604</v>
      </c>
      <c r="D282" s="24" t="s">
        <v>617</v>
      </c>
      <c r="E282" s="26">
        <v>25</v>
      </c>
      <c r="F282" s="25" t="s">
        <v>597</v>
      </c>
      <c r="G282" s="26">
        <f>+(E282/B282)*2.20462</f>
        <v>1.1023099999999999</v>
      </c>
    </row>
    <row r="283" spans="1:8" ht="15.75" customHeight="1">
      <c r="A283" s="24" t="s">
        <v>513</v>
      </c>
      <c r="B283" s="26">
        <v>1</v>
      </c>
      <c r="C283" s="24" t="s">
        <v>607</v>
      </c>
      <c r="D283" s="24" t="s">
        <v>608</v>
      </c>
      <c r="E283" s="26">
        <v>1.8193999999999999</v>
      </c>
      <c r="F283" s="25" t="s">
        <v>554</v>
      </c>
      <c r="G283" s="26">
        <f>+E283</f>
        <v>1.8193999999999999</v>
      </c>
    </row>
    <row r="284" spans="1:8" ht="15.75" customHeight="1">
      <c r="A284" s="24" t="s">
        <v>517</v>
      </c>
      <c r="B284" s="26">
        <v>100</v>
      </c>
      <c r="C284" s="24" t="s">
        <v>604</v>
      </c>
      <c r="D284" s="24" t="s">
        <v>605</v>
      </c>
      <c r="E284" s="26">
        <v>26</v>
      </c>
      <c r="F284" s="25" t="s">
        <v>562</v>
      </c>
      <c r="G284" s="26">
        <f>(E284/B284)*2.20462</f>
        <v>0.57320119999999997</v>
      </c>
    </row>
    <row r="285" spans="1:8" ht="15.75" customHeight="1">
      <c r="A285" s="24" t="s">
        <v>518</v>
      </c>
      <c r="B285" s="26">
        <v>10</v>
      </c>
      <c r="C285" s="24" t="s">
        <v>604</v>
      </c>
      <c r="D285" s="24" t="s">
        <v>649</v>
      </c>
      <c r="E285" s="26">
        <v>6</v>
      </c>
      <c r="F285" s="25" t="s">
        <v>567</v>
      </c>
      <c r="G285" s="26">
        <f>+(E285/B285)*2.20462</f>
        <v>1.3227719999999998</v>
      </c>
    </row>
    <row r="286" spans="1:8" ht="15.75" customHeight="1">
      <c r="A286" s="24" t="s">
        <v>519</v>
      </c>
      <c r="B286" s="26">
        <v>1</v>
      </c>
      <c r="C286" s="24" t="s">
        <v>629</v>
      </c>
      <c r="D286" s="24" t="s">
        <v>650</v>
      </c>
      <c r="E286" s="26">
        <v>1.25</v>
      </c>
      <c r="F286" s="25" t="s">
        <v>598</v>
      </c>
      <c r="G286" s="26">
        <f t="shared" ref="G286:G287" si="39">+E286/0.115</f>
        <v>10.869565217391305</v>
      </c>
      <c r="H286" s="2" t="s">
        <v>651</v>
      </c>
    </row>
    <row r="287" spans="1:8" ht="15.75" customHeight="1">
      <c r="A287" s="24" t="s">
        <v>520</v>
      </c>
      <c r="B287" s="26">
        <f t="shared" ref="B287:F287" si="40">+B286</f>
        <v>1</v>
      </c>
      <c r="C287" s="24" t="str">
        <f t="shared" si="40"/>
        <v>Unidades</v>
      </c>
      <c r="D287" s="24" t="str">
        <f t="shared" si="40"/>
        <v>Maceta</v>
      </c>
      <c r="E287" s="26">
        <f t="shared" si="40"/>
        <v>1.25</v>
      </c>
      <c r="F287" s="28" t="str">
        <f t="shared" si="40"/>
        <v>https://jardines.ec/venta-plantas/arbustos-ornamentales/hebe</v>
      </c>
      <c r="G287" s="26">
        <f t="shared" si="39"/>
        <v>10.869565217391305</v>
      </c>
    </row>
    <row r="288" spans="1:8" ht="15.75" customHeight="1">
      <c r="A288" s="24" t="s">
        <v>521</v>
      </c>
      <c r="B288" s="26">
        <v>45324</v>
      </c>
      <c r="C288" s="24" t="s">
        <v>604</v>
      </c>
      <c r="D288" s="24" t="s">
        <v>608</v>
      </c>
      <c r="E288" s="26">
        <v>0.75</v>
      </c>
      <c r="F288" s="25" t="s">
        <v>522</v>
      </c>
      <c r="G288" s="26"/>
    </row>
    <row r="289" spans="1:7" ht="15.75" customHeight="1">
      <c r="A289" s="24" t="s">
        <v>523</v>
      </c>
      <c r="B289" s="26"/>
      <c r="C289" s="24"/>
      <c r="D289" s="24"/>
      <c r="E289" s="26"/>
      <c r="F289" s="25"/>
      <c r="G289" s="26"/>
    </row>
    <row r="290" spans="1:7" ht="15.75" customHeight="1">
      <c r="A290" s="24" t="s">
        <v>525</v>
      </c>
      <c r="B290" s="26"/>
      <c r="C290" s="24"/>
      <c r="D290" s="24"/>
      <c r="E290" s="26"/>
      <c r="F290" s="25"/>
      <c r="G290" s="26"/>
    </row>
    <row r="291" spans="1:7" ht="15.75" customHeight="1">
      <c r="A291" s="24" t="s">
        <v>527</v>
      </c>
      <c r="B291" s="26"/>
      <c r="C291" s="24"/>
      <c r="D291" s="24"/>
      <c r="E291" s="26"/>
      <c r="F291" s="25"/>
      <c r="G291" s="26"/>
    </row>
    <row r="292" spans="1:7" ht="15.75" customHeight="1">
      <c r="A292" s="24" t="s">
        <v>530</v>
      </c>
      <c r="B292" s="26">
        <v>1</v>
      </c>
      <c r="C292" s="24" t="s">
        <v>607</v>
      </c>
      <c r="D292" s="24" t="s">
        <v>608</v>
      </c>
      <c r="E292" s="26">
        <v>0.463893215632105</v>
      </c>
      <c r="F292" s="25" t="s">
        <v>613</v>
      </c>
      <c r="G292" s="26">
        <f>+E292</f>
        <v>0.463893215632105</v>
      </c>
    </row>
    <row r="293" spans="1:7" ht="15.75" customHeight="1">
      <c r="A293" s="24" t="s">
        <v>533</v>
      </c>
      <c r="B293" s="26">
        <v>1</v>
      </c>
      <c r="C293" s="24" t="s">
        <v>629</v>
      </c>
      <c r="D293" s="24" t="s">
        <v>600</v>
      </c>
      <c r="E293" s="26">
        <v>2.25</v>
      </c>
      <c r="F293" s="25" t="s">
        <v>569</v>
      </c>
      <c r="G293" s="26">
        <v>1.5</v>
      </c>
    </row>
    <row r="294" spans="1:7" ht="15.75" customHeight="1">
      <c r="A294" s="24" t="s">
        <v>534</v>
      </c>
      <c r="B294" s="26">
        <v>1</v>
      </c>
      <c r="C294" s="24" t="s">
        <v>607</v>
      </c>
      <c r="D294" s="24" t="s">
        <v>608</v>
      </c>
      <c r="E294" s="26">
        <v>0.30030431370729899</v>
      </c>
      <c r="F294" s="25" t="s">
        <v>613</v>
      </c>
      <c r="G294" s="26">
        <f>+E294</f>
        <v>0.30030431370729899</v>
      </c>
    </row>
    <row r="295" spans="1:7" ht="15.75" customHeight="1">
      <c r="A295" s="24" t="s">
        <v>535</v>
      </c>
      <c r="B295" s="26">
        <v>5</v>
      </c>
      <c r="C295" s="24" t="s">
        <v>604</v>
      </c>
      <c r="D295" s="24" t="s">
        <v>633</v>
      </c>
      <c r="E295" s="26">
        <v>0.75</v>
      </c>
      <c r="F295" s="25" t="s">
        <v>571</v>
      </c>
      <c r="G295" s="26">
        <f t="shared" ref="G295:G296" si="41">+(E295/B295)*2.20462</f>
        <v>0.33069299999999996</v>
      </c>
    </row>
    <row r="296" spans="1:7" ht="15.75" customHeight="1">
      <c r="A296" s="24" t="s">
        <v>537</v>
      </c>
      <c r="B296" s="26">
        <v>15</v>
      </c>
      <c r="C296" s="24" t="s">
        <v>604</v>
      </c>
      <c r="D296" s="24" t="s">
        <v>606</v>
      </c>
      <c r="E296" s="26">
        <v>1.7219</v>
      </c>
      <c r="F296" s="25" t="s">
        <v>554</v>
      </c>
      <c r="G296" s="26">
        <f t="shared" si="41"/>
        <v>0.25307567853333329</v>
      </c>
    </row>
    <row r="297" spans="1:7" ht="15.75" customHeight="1">
      <c r="A297" s="24" t="s">
        <v>538</v>
      </c>
      <c r="B297" s="26" t="s">
        <v>612</v>
      </c>
      <c r="C297" s="24"/>
      <c r="D297" s="24"/>
      <c r="E297" s="26"/>
      <c r="F297" s="25"/>
      <c r="G297" s="26"/>
    </row>
    <row r="298" spans="1:7" ht="15.75" customHeight="1">
      <c r="A298" s="16"/>
      <c r="F298" s="29"/>
    </row>
    <row r="299" spans="1:7" ht="15.75" customHeight="1">
      <c r="A299" s="16"/>
      <c r="F299" s="29"/>
    </row>
    <row r="300" spans="1:7" ht="15.75" customHeight="1">
      <c r="A300" s="16"/>
      <c r="F300" s="29"/>
    </row>
    <row r="301" spans="1:7" ht="15.75" customHeight="1">
      <c r="A301" s="16"/>
      <c r="F301" s="29"/>
    </row>
    <row r="302" spans="1:7" ht="15.75" customHeight="1">
      <c r="A302" s="16"/>
      <c r="F302" s="29"/>
    </row>
    <row r="303" spans="1:7" ht="15.75" customHeight="1">
      <c r="A303" s="16"/>
      <c r="F303" s="29"/>
    </row>
    <row r="304" spans="1:7" ht="15.75" customHeight="1">
      <c r="A304" s="16"/>
      <c r="F304" s="29"/>
    </row>
    <row r="305" spans="1:6" ht="15.75" customHeight="1">
      <c r="A305" s="16"/>
      <c r="F305" s="29"/>
    </row>
    <row r="306" spans="1:6" ht="15.75" customHeight="1">
      <c r="A306" s="16"/>
      <c r="F306" s="29"/>
    </row>
    <row r="307" spans="1:6" ht="15.75" customHeight="1">
      <c r="A307" s="16"/>
      <c r="F307" s="29"/>
    </row>
    <row r="308" spans="1:6" ht="15.75" customHeight="1">
      <c r="A308" s="16"/>
      <c r="F308" s="29"/>
    </row>
    <row r="309" spans="1:6" ht="15.75" customHeight="1">
      <c r="A309" s="16"/>
      <c r="F309" s="29"/>
    </row>
    <row r="310" spans="1:6" ht="15.75" customHeight="1">
      <c r="A310" s="16"/>
      <c r="F310" s="29"/>
    </row>
    <row r="311" spans="1:6" ht="15.75" customHeight="1">
      <c r="A311" s="16"/>
      <c r="F311" s="29"/>
    </row>
    <row r="312" spans="1:6" ht="15.75" customHeight="1">
      <c r="A312" s="16"/>
      <c r="F312" s="29"/>
    </row>
    <row r="313" spans="1:6" ht="15.75" customHeight="1">
      <c r="A313" s="16"/>
      <c r="F313" s="29"/>
    </row>
    <row r="314" spans="1:6" ht="15.75" customHeight="1">
      <c r="A314" s="16"/>
      <c r="F314" s="29"/>
    </row>
    <row r="315" spans="1:6" ht="15.75" customHeight="1">
      <c r="A315" s="16"/>
      <c r="F315" s="29"/>
    </row>
    <row r="316" spans="1:6" ht="15.75" customHeight="1">
      <c r="A316" s="16"/>
      <c r="F316" s="29"/>
    </row>
    <row r="317" spans="1:6" ht="15.75" customHeight="1">
      <c r="A317" s="16"/>
      <c r="F317" s="29"/>
    </row>
    <row r="318" spans="1:6" ht="15.75" customHeight="1">
      <c r="A318" s="16"/>
      <c r="F318" s="29"/>
    </row>
    <row r="319" spans="1:6" ht="15.75" customHeight="1">
      <c r="A319" s="16"/>
      <c r="F319" s="29"/>
    </row>
    <row r="320" spans="1:6" ht="15.75" customHeight="1">
      <c r="A320" s="16"/>
      <c r="F320" s="29"/>
    </row>
    <row r="321" spans="1:6" ht="15.75" customHeight="1">
      <c r="A321" s="16"/>
      <c r="F321" s="29"/>
    </row>
    <row r="322" spans="1:6" ht="15.75" customHeight="1">
      <c r="A322" s="16"/>
      <c r="F322" s="29"/>
    </row>
    <row r="323" spans="1:6" ht="15.75" customHeight="1">
      <c r="A323" s="16"/>
      <c r="F323" s="29"/>
    </row>
    <row r="324" spans="1:6" ht="15.75" customHeight="1">
      <c r="A324" s="16"/>
      <c r="F324" s="29"/>
    </row>
    <row r="325" spans="1:6" ht="15.75" customHeight="1">
      <c r="A325" s="16"/>
      <c r="F325" s="29"/>
    </row>
    <row r="326" spans="1:6" ht="15.75" customHeight="1">
      <c r="A326" s="16"/>
      <c r="F326" s="29"/>
    </row>
    <row r="327" spans="1:6" ht="15.75" customHeight="1">
      <c r="A327" s="16"/>
      <c r="F327" s="29"/>
    </row>
    <row r="328" spans="1:6" ht="15.75" customHeight="1">
      <c r="A328" s="16"/>
      <c r="F328" s="29"/>
    </row>
    <row r="329" spans="1:6" ht="15.75" customHeight="1">
      <c r="A329" s="16"/>
      <c r="F329" s="29"/>
    </row>
    <row r="330" spans="1:6" ht="15.75" customHeight="1">
      <c r="A330" s="16"/>
      <c r="F330" s="29"/>
    </row>
    <row r="331" spans="1:6" ht="15.75" customHeight="1">
      <c r="A331" s="16"/>
      <c r="F331" s="29"/>
    </row>
    <row r="332" spans="1:6" ht="15.75" customHeight="1">
      <c r="A332" s="16"/>
      <c r="F332" s="29"/>
    </row>
    <row r="333" spans="1:6" ht="15.75" customHeight="1">
      <c r="A333" s="16"/>
      <c r="F333" s="29"/>
    </row>
    <row r="334" spans="1:6" ht="15.75" customHeight="1">
      <c r="A334" s="16"/>
      <c r="F334" s="29"/>
    </row>
    <row r="335" spans="1:6" ht="15.75" customHeight="1">
      <c r="A335" s="16"/>
      <c r="F335" s="29"/>
    </row>
    <row r="336" spans="1:6" ht="15.75" customHeight="1">
      <c r="A336" s="16"/>
      <c r="F336" s="29"/>
    </row>
    <row r="337" spans="1:6" ht="15.75" customHeight="1">
      <c r="A337" s="16"/>
      <c r="F337" s="29"/>
    </row>
    <row r="338" spans="1:6" ht="15.75" customHeight="1">
      <c r="A338" s="16"/>
      <c r="F338" s="29"/>
    </row>
    <row r="339" spans="1:6" ht="15.75" customHeight="1">
      <c r="A339" s="16"/>
      <c r="F339" s="29"/>
    </row>
    <row r="340" spans="1:6" ht="15.75" customHeight="1">
      <c r="A340" s="16"/>
      <c r="F340" s="29"/>
    </row>
    <row r="341" spans="1:6" ht="15.75" customHeight="1">
      <c r="A341" s="16"/>
      <c r="F341" s="29"/>
    </row>
    <row r="342" spans="1:6" ht="15.75" customHeight="1">
      <c r="A342" s="16"/>
      <c r="F342" s="29"/>
    </row>
    <row r="343" spans="1:6" ht="15.75" customHeight="1">
      <c r="A343" s="16"/>
      <c r="F343" s="29"/>
    </row>
    <row r="344" spans="1:6" ht="15.75" customHeight="1">
      <c r="A344" s="16"/>
      <c r="F344" s="29"/>
    </row>
    <row r="345" spans="1:6" ht="15.75" customHeight="1">
      <c r="A345" s="16"/>
      <c r="F345" s="29"/>
    </row>
    <row r="346" spans="1:6" ht="15.75" customHeight="1">
      <c r="A346" s="16"/>
      <c r="F346" s="29"/>
    </row>
    <row r="347" spans="1:6" ht="15.75" customHeight="1">
      <c r="A347" s="16"/>
      <c r="F347" s="29"/>
    </row>
    <row r="348" spans="1:6" ht="15.75" customHeight="1">
      <c r="A348" s="16"/>
      <c r="F348" s="29"/>
    </row>
    <row r="349" spans="1:6" ht="15.75" customHeight="1">
      <c r="A349" s="16"/>
      <c r="F349" s="29"/>
    </row>
    <row r="350" spans="1:6" ht="15.75" customHeight="1">
      <c r="A350" s="16"/>
      <c r="F350" s="29"/>
    </row>
    <row r="351" spans="1:6" ht="15.75" customHeight="1">
      <c r="A351" s="16"/>
      <c r="F351" s="29"/>
    </row>
    <row r="352" spans="1:6" ht="15.75" customHeight="1">
      <c r="A352" s="16"/>
      <c r="F352" s="29"/>
    </row>
    <row r="353" spans="1:6" ht="15.75" customHeight="1">
      <c r="A353" s="16"/>
      <c r="F353" s="29"/>
    </row>
    <row r="354" spans="1:6" ht="15.75" customHeight="1">
      <c r="A354" s="16"/>
      <c r="F354" s="29"/>
    </row>
    <row r="355" spans="1:6" ht="15.75" customHeight="1">
      <c r="A355" s="16"/>
      <c r="F355" s="29"/>
    </row>
    <row r="356" spans="1:6" ht="15.75" customHeight="1">
      <c r="A356" s="16"/>
      <c r="F356" s="29"/>
    </row>
    <row r="357" spans="1:6" ht="15.75" customHeight="1">
      <c r="A357" s="16"/>
      <c r="F357" s="29"/>
    </row>
    <row r="358" spans="1:6" ht="15.75" customHeight="1">
      <c r="A358" s="16"/>
      <c r="F358" s="29"/>
    </row>
    <row r="359" spans="1:6" ht="15.75" customHeight="1">
      <c r="A359" s="16"/>
      <c r="F359" s="29"/>
    </row>
    <row r="360" spans="1:6" ht="15.75" customHeight="1">
      <c r="A360" s="16"/>
      <c r="F360" s="29"/>
    </row>
    <row r="361" spans="1:6" ht="15.75" customHeight="1">
      <c r="A361" s="16"/>
      <c r="F361" s="29"/>
    </row>
    <row r="362" spans="1:6" ht="15.75" customHeight="1">
      <c r="A362" s="16"/>
      <c r="F362" s="29"/>
    </row>
    <row r="363" spans="1:6" ht="15.75" customHeight="1">
      <c r="A363" s="16"/>
      <c r="F363" s="29"/>
    </row>
    <row r="364" spans="1:6" ht="15.75" customHeight="1">
      <c r="A364" s="16"/>
      <c r="F364" s="29"/>
    </row>
    <row r="365" spans="1:6" ht="15.75" customHeight="1">
      <c r="A365" s="16"/>
      <c r="F365" s="29"/>
    </row>
    <row r="366" spans="1:6" ht="15.75" customHeight="1">
      <c r="A366" s="16"/>
      <c r="F366" s="29"/>
    </row>
    <row r="367" spans="1:6" ht="15.75" customHeight="1">
      <c r="A367" s="16"/>
      <c r="F367" s="29"/>
    </row>
    <row r="368" spans="1:6" ht="15.75" customHeight="1">
      <c r="A368" s="16"/>
      <c r="F368" s="29"/>
    </row>
    <row r="369" spans="1:6" ht="15.75" customHeight="1">
      <c r="A369" s="16"/>
      <c r="F369" s="29"/>
    </row>
    <row r="370" spans="1:6" ht="15.75" customHeight="1">
      <c r="A370" s="16"/>
      <c r="F370" s="29"/>
    </row>
    <row r="371" spans="1:6" ht="15.75" customHeight="1">
      <c r="A371" s="16"/>
      <c r="F371" s="29"/>
    </row>
    <row r="372" spans="1:6" ht="15.75" customHeight="1">
      <c r="A372" s="16"/>
      <c r="F372" s="29"/>
    </row>
    <row r="373" spans="1:6" ht="15.75" customHeight="1">
      <c r="A373" s="16"/>
      <c r="F373" s="29"/>
    </row>
    <row r="374" spans="1:6" ht="15.75" customHeight="1">
      <c r="A374" s="16"/>
      <c r="F374" s="29"/>
    </row>
    <row r="375" spans="1:6" ht="15.75" customHeight="1">
      <c r="A375" s="16"/>
      <c r="F375" s="29"/>
    </row>
    <row r="376" spans="1:6" ht="15.75" customHeight="1">
      <c r="A376" s="16"/>
      <c r="F376" s="29"/>
    </row>
    <row r="377" spans="1:6" ht="15.75" customHeight="1">
      <c r="A377" s="16"/>
      <c r="F377" s="29"/>
    </row>
    <row r="378" spans="1:6" ht="15.75" customHeight="1">
      <c r="A378" s="16"/>
      <c r="F378" s="29"/>
    </row>
    <row r="379" spans="1:6" ht="15.75" customHeight="1">
      <c r="A379" s="16"/>
      <c r="F379" s="29"/>
    </row>
    <row r="380" spans="1:6" ht="15.75" customHeight="1">
      <c r="A380" s="16"/>
      <c r="F380" s="29"/>
    </row>
    <row r="381" spans="1:6" ht="15.75" customHeight="1">
      <c r="A381" s="16"/>
      <c r="F381" s="29"/>
    </row>
    <row r="382" spans="1:6" ht="15.75" customHeight="1">
      <c r="A382" s="16"/>
      <c r="F382" s="29"/>
    </row>
    <row r="383" spans="1:6" ht="15.75" customHeight="1">
      <c r="A383" s="16"/>
      <c r="F383" s="29"/>
    </row>
    <row r="384" spans="1:6" ht="15.75" customHeight="1">
      <c r="A384" s="16"/>
      <c r="F384" s="29"/>
    </row>
    <row r="385" spans="1:6" ht="15.75" customHeight="1">
      <c r="A385" s="16"/>
      <c r="F385" s="29"/>
    </row>
    <row r="386" spans="1:6" ht="15.75" customHeight="1">
      <c r="A386" s="16"/>
      <c r="F386" s="29"/>
    </row>
    <row r="387" spans="1:6" ht="15.75" customHeight="1">
      <c r="A387" s="16"/>
      <c r="F387" s="29"/>
    </row>
    <row r="388" spans="1:6" ht="15.75" customHeight="1">
      <c r="A388" s="16"/>
      <c r="F388" s="29"/>
    </row>
    <row r="389" spans="1:6" ht="15.75" customHeight="1">
      <c r="A389" s="16"/>
      <c r="F389" s="29"/>
    </row>
    <row r="390" spans="1:6" ht="15.75" customHeight="1">
      <c r="A390" s="16"/>
      <c r="F390" s="29"/>
    </row>
    <row r="391" spans="1:6" ht="15.75" customHeight="1">
      <c r="A391" s="16"/>
      <c r="F391" s="29"/>
    </row>
    <row r="392" spans="1:6" ht="15.75" customHeight="1">
      <c r="A392" s="16"/>
      <c r="F392" s="29"/>
    </row>
    <row r="393" spans="1:6" ht="15.75" customHeight="1">
      <c r="A393" s="16"/>
      <c r="F393" s="29"/>
    </row>
    <row r="394" spans="1:6" ht="15.75" customHeight="1">
      <c r="A394" s="16"/>
      <c r="F394" s="29"/>
    </row>
    <row r="395" spans="1:6" ht="15.75" customHeight="1">
      <c r="A395" s="16"/>
      <c r="F395" s="29"/>
    </row>
    <row r="396" spans="1:6" ht="15.75" customHeight="1">
      <c r="A396" s="16"/>
      <c r="F396" s="29"/>
    </row>
    <row r="397" spans="1:6" ht="15.75" customHeight="1">
      <c r="A397" s="16"/>
      <c r="F397" s="29"/>
    </row>
    <row r="398" spans="1:6" ht="15.75" customHeight="1">
      <c r="A398" s="16"/>
      <c r="F398" s="29"/>
    </row>
    <row r="399" spans="1:6" ht="15.75" customHeight="1">
      <c r="A399" s="16"/>
      <c r="F399" s="29"/>
    </row>
    <row r="400" spans="1:6" ht="15.75" customHeight="1">
      <c r="A400" s="16"/>
      <c r="F400" s="29"/>
    </row>
    <row r="401" spans="1:6" ht="15.75" customHeight="1">
      <c r="A401" s="16"/>
      <c r="F401" s="29"/>
    </row>
    <row r="402" spans="1:6" ht="15.75" customHeight="1">
      <c r="A402" s="16"/>
      <c r="F402" s="29"/>
    </row>
    <row r="403" spans="1:6" ht="15.75" customHeight="1">
      <c r="A403" s="16"/>
      <c r="F403" s="29"/>
    </row>
    <row r="404" spans="1:6" ht="15.75" customHeight="1">
      <c r="A404" s="16"/>
      <c r="F404" s="29"/>
    </row>
    <row r="405" spans="1:6" ht="15.75" customHeight="1">
      <c r="A405" s="16"/>
      <c r="F405" s="29"/>
    </row>
    <row r="406" spans="1:6" ht="15.75" customHeight="1">
      <c r="A406" s="16"/>
      <c r="F406" s="29"/>
    </row>
    <row r="407" spans="1:6" ht="15.75" customHeight="1">
      <c r="A407" s="16"/>
      <c r="F407" s="29"/>
    </row>
    <row r="408" spans="1:6" ht="15.75" customHeight="1">
      <c r="A408" s="16"/>
      <c r="F408" s="29"/>
    </row>
    <row r="409" spans="1:6" ht="15.75" customHeight="1">
      <c r="A409" s="16"/>
      <c r="F409" s="29"/>
    </row>
    <row r="410" spans="1:6" ht="15.75" customHeight="1">
      <c r="A410" s="16"/>
      <c r="F410" s="29"/>
    </row>
    <row r="411" spans="1:6" ht="15.75" customHeight="1">
      <c r="A411" s="16"/>
      <c r="F411" s="29"/>
    </row>
    <row r="412" spans="1:6" ht="15.75" customHeight="1">
      <c r="A412" s="16"/>
      <c r="F412" s="29"/>
    </row>
    <row r="413" spans="1:6" ht="15.75" customHeight="1">
      <c r="A413" s="16"/>
      <c r="F413" s="29"/>
    </row>
    <row r="414" spans="1:6" ht="15.75" customHeight="1">
      <c r="A414" s="16"/>
      <c r="F414" s="29"/>
    </row>
    <row r="415" spans="1:6" ht="15.75" customHeight="1">
      <c r="A415" s="16"/>
      <c r="F415" s="29"/>
    </row>
    <row r="416" spans="1:6" ht="15.75" customHeight="1">
      <c r="A416" s="16"/>
      <c r="F416" s="29"/>
    </row>
    <row r="417" spans="1:6" ht="15.75" customHeight="1">
      <c r="A417" s="16"/>
      <c r="F417" s="29"/>
    </row>
    <row r="418" spans="1:6" ht="15.75" customHeight="1">
      <c r="A418" s="16"/>
      <c r="F418" s="29"/>
    </row>
    <row r="419" spans="1:6" ht="15.75" customHeight="1">
      <c r="A419" s="16"/>
      <c r="F419" s="29"/>
    </row>
    <row r="420" spans="1:6" ht="15.75" customHeight="1">
      <c r="A420" s="16"/>
      <c r="F420" s="29"/>
    </row>
    <row r="421" spans="1:6" ht="15.75" customHeight="1">
      <c r="A421" s="16"/>
      <c r="F421" s="29"/>
    </row>
    <row r="422" spans="1:6" ht="15.75" customHeight="1">
      <c r="A422" s="16"/>
      <c r="F422" s="29"/>
    </row>
    <row r="423" spans="1:6" ht="15.75" customHeight="1">
      <c r="A423" s="16"/>
      <c r="F423" s="29"/>
    </row>
    <row r="424" spans="1:6" ht="15.75" customHeight="1">
      <c r="A424" s="16"/>
      <c r="F424" s="29"/>
    </row>
    <row r="425" spans="1:6" ht="15.75" customHeight="1">
      <c r="A425" s="16"/>
      <c r="F425" s="29"/>
    </row>
    <row r="426" spans="1:6" ht="15.75" customHeight="1">
      <c r="A426" s="16"/>
      <c r="F426" s="29"/>
    </row>
    <row r="427" spans="1:6" ht="15.75" customHeight="1">
      <c r="A427" s="16"/>
      <c r="F427" s="29"/>
    </row>
    <row r="428" spans="1:6" ht="15.75" customHeight="1">
      <c r="A428" s="16"/>
      <c r="F428" s="29"/>
    </row>
    <row r="429" spans="1:6" ht="15.75" customHeight="1">
      <c r="A429" s="16"/>
      <c r="F429" s="29"/>
    </row>
    <row r="430" spans="1:6" ht="15.75" customHeight="1">
      <c r="A430" s="16"/>
      <c r="F430" s="29"/>
    </row>
    <row r="431" spans="1:6" ht="15.75" customHeight="1">
      <c r="A431" s="16"/>
      <c r="F431" s="29"/>
    </row>
    <row r="432" spans="1:6" ht="15.75" customHeight="1">
      <c r="A432" s="16"/>
      <c r="F432" s="29"/>
    </row>
    <row r="433" spans="1:6" ht="15.75" customHeight="1">
      <c r="A433" s="16"/>
      <c r="F433" s="29"/>
    </row>
    <row r="434" spans="1:6" ht="15.75" customHeight="1">
      <c r="A434" s="16"/>
      <c r="F434" s="29"/>
    </row>
    <row r="435" spans="1:6" ht="15.75" customHeight="1">
      <c r="A435" s="16"/>
      <c r="F435" s="29"/>
    </row>
    <row r="436" spans="1:6" ht="15.75" customHeight="1">
      <c r="A436" s="16"/>
      <c r="F436" s="29"/>
    </row>
    <row r="437" spans="1:6" ht="15.75" customHeight="1">
      <c r="A437" s="16"/>
      <c r="F437" s="29"/>
    </row>
    <row r="438" spans="1:6" ht="15.75" customHeight="1">
      <c r="A438" s="16"/>
      <c r="F438" s="29"/>
    </row>
    <row r="439" spans="1:6" ht="15.75" customHeight="1">
      <c r="A439" s="16"/>
      <c r="F439" s="29"/>
    </row>
    <row r="440" spans="1:6" ht="15.75" customHeight="1">
      <c r="A440" s="16"/>
      <c r="F440" s="29"/>
    </row>
    <row r="441" spans="1:6" ht="15.75" customHeight="1">
      <c r="A441" s="16"/>
      <c r="F441" s="29"/>
    </row>
    <row r="442" spans="1:6" ht="15.75" customHeight="1">
      <c r="A442" s="16"/>
      <c r="F442" s="29"/>
    </row>
    <row r="443" spans="1:6" ht="15.75" customHeight="1">
      <c r="A443" s="16"/>
      <c r="F443" s="29"/>
    </row>
    <row r="444" spans="1:6" ht="15.75" customHeight="1">
      <c r="A444" s="16"/>
      <c r="F444" s="29"/>
    </row>
    <row r="445" spans="1:6" ht="15.75" customHeight="1">
      <c r="A445" s="16"/>
      <c r="F445" s="29"/>
    </row>
    <row r="446" spans="1:6" ht="15.75" customHeight="1">
      <c r="A446" s="16"/>
      <c r="F446" s="29"/>
    </row>
    <row r="447" spans="1:6" ht="15.75" customHeight="1">
      <c r="A447" s="16"/>
      <c r="F447" s="29"/>
    </row>
    <row r="448" spans="1:6" ht="15.75" customHeight="1">
      <c r="A448" s="16"/>
      <c r="F448" s="29"/>
    </row>
    <row r="449" spans="1:6" ht="15.75" customHeight="1">
      <c r="A449" s="16"/>
      <c r="F449" s="29"/>
    </row>
    <row r="450" spans="1:6" ht="15.75" customHeight="1">
      <c r="A450" s="16"/>
      <c r="F450" s="29"/>
    </row>
    <row r="451" spans="1:6" ht="15.75" customHeight="1">
      <c r="A451" s="16"/>
      <c r="F451" s="29"/>
    </row>
    <row r="452" spans="1:6" ht="15.75" customHeight="1">
      <c r="A452" s="16"/>
      <c r="F452" s="29"/>
    </row>
    <row r="453" spans="1:6" ht="15.75" customHeight="1">
      <c r="A453" s="16"/>
      <c r="F453" s="29"/>
    </row>
    <row r="454" spans="1:6" ht="15.75" customHeight="1">
      <c r="A454" s="16"/>
      <c r="F454" s="29"/>
    </row>
    <row r="455" spans="1:6" ht="15.75" customHeight="1">
      <c r="A455" s="16"/>
      <c r="F455" s="29"/>
    </row>
    <row r="456" spans="1:6" ht="15.75" customHeight="1">
      <c r="A456" s="16"/>
      <c r="F456" s="29"/>
    </row>
    <row r="457" spans="1:6" ht="15.75" customHeight="1">
      <c r="A457" s="16"/>
      <c r="F457" s="29"/>
    </row>
    <row r="458" spans="1:6" ht="15.75" customHeight="1">
      <c r="A458" s="16"/>
      <c r="F458" s="29"/>
    </row>
    <row r="459" spans="1:6" ht="15.75" customHeight="1">
      <c r="A459" s="16"/>
      <c r="F459" s="29"/>
    </row>
    <row r="460" spans="1:6" ht="15.75" customHeight="1">
      <c r="A460" s="16"/>
      <c r="F460" s="29"/>
    </row>
    <row r="461" spans="1:6" ht="15.75" customHeight="1">
      <c r="A461" s="16"/>
      <c r="F461" s="29"/>
    </row>
    <row r="462" spans="1:6" ht="15.75" customHeight="1">
      <c r="A462" s="16"/>
      <c r="F462" s="29"/>
    </row>
    <row r="463" spans="1:6" ht="15.75" customHeight="1">
      <c r="A463" s="16"/>
      <c r="F463" s="29"/>
    </row>
    <row r="464" spans="1:6" ht="15.75" customHeight="1">
      <c r="A464" s="16"/>
      <c r="F464" s="29"/>
    </row>
    <row r="465" spans="1:6" ht="15.75" customHeight="1">
      <c r="A465" s="16"/>
      <c r="F465" s="29"/>
    </row>
    <row r="466" spans="1:6" ht="15.75" customHeight="1">
      <c r="A466" s="16"/>
      <c r="F466" s="29"/>
    </row>
    <row r="467" spans="1:6" ht="15.75" customHeight="1">
      <c r="A467" s="16"/>
      <c r="F467" s="29"/>
    </row>
    <row r="468" spans="1:6" ht="15.75" customHeight="1">
      <c r="A468" s="16"/>
      <c r="F468" s="29"/>
    </row>
    <row r="469" spans="1:6" ht="15.75" customHeight="1">
      <c r="A469" s="16"/>
      <c r="F469" s="29"/>
    </row>
    <row r="470" spans="1:6" ht="15.75" customHeight="1">
      <c r="A470" s="16"/>
      <c r="F470" s="29"/>
    </row>
    <row r="471" spans="1:6" ht="15.75" customHeight="1">
      <c r="A471" s="16"/>
      <c r="F471" s="29"/>
    </row>
    <row r="472" spans="1:6" ht="15.75" customHeight="1">
      <c r="A472" s="16"/>
      <c r="F472" s="29"/>
    </row>
    <row r="473" spans="1:6" ht="15.75" customHeight="1">
      <c r="A473" s="16"/>
      <c r="F473" s="29"/>
    </row>
    <row r="474" spans="1:6" ht="15.75" customHeight="1">
      <c r="A474" s="16"/>
      <c r="F474" s="29"/>
    </row>
    <row r="475" spans="1:6" ht="15.75" customHeight="1">
      <c r="A475" s="16"/>
      <c r="F475" s="29"/>
    </row>
    <row r="476" spans="1:6" ht="15.75" customHeight="1">
      <c r="A476" s="16"/>
      <c r="F476" s="29"/>
    </row>
    <row r="477" spans="1:6" ht="15.75" customHeight="1">
      <c r="A477" s="16"/>
      <c r="F477" s="29"/>
    </row>
    <row r="478" spans="1:6" ht="15.75" customHeight="1">
      <c r="A478" s="16"/>
      <c r="F478" s="29"/>
    </row>
    <row r="479" spans="1:6" ht="15.75" customHeight="1">
      <c r="A479" s="16"/>
      <c r="F479" s="29"/>
    </row>
    <row r="480" spans="1:6" ht="15.75" customHeight="1">
      <c r="A480" s="16"/>
      <c r="F480" s="29"/>
    </row>
    <row r="481" spans="1:6" ht="15.75" customHeight="1">
      <c r="A481" s="16"/>
      <c r="F481" s="29"/>
    </row>
    <row r="482" spans="1:6" ht="15.75" customHeight="1">
      <c r="A482" s="16"/>
      <c r="F482" s="29"/>
    </row>
    <row r="483" spans="1:6" ht="15.75" customHeight="1">
      <c r="A483" s="16"/>
      <c r="F483" s="29"/>
    </row>
    <row r="484" spans="1:6" ht="15.75" customHeight="1">
      <c r="A484" s="16"/>
      <c r="F484" s="29"/>
    </row>
    <row r="485" spans="1:6" ht="15.75" customHeight="1">
      <c r="A485" s="16"/>
      <c r="F485" s="29"/>
    </row>
    <row r="486" spans="1:6" ht="15.75" customHeight="1">
      <c r="A486" s="16"/>
      <c r="F486" s="29"/>
    </row>
    <row r="487" spans="1:6" ht="15.75" customHeight="1">
      <c r="A487" s="16"/>
      <c r="F487" s="29"/>
    </row>
    <row r="488" spans="1:6" ht="15.75" customHeight="1">
      <c r="A488" s="16"/>
      <c r="F488" s="29"/>
    </row>
    <row r="489" spans="1:6" ht="15.75" customHeight="1">
      <c r="A489" s="16"/>
      <c r="F489" s="29"/>
    </row>
    <row r="490" spans="1:6" ht="15.75" customHeight="1">
      <c r="A490" s="16"/>
      <c r="F490" s="29"/>
    </row>
    <row r="491" spans="1:6" ht="15.75" customHeight="1">
      <c r="A491" s="16"/>
      <c r="F491" s="29"/>
    </row>
    <row r="492" spans="1:6" ht="15.75" customHeight="1">
      <c r="A492" s="16"/>
      <c r="F492" s="29"/>
    </row>
    <row r="493" spans="1:6" ht="15.75" customHeight="1">
      <c r="A493" s="16"/>
      <c r="F493" s="29"/>
    </row>
    <row r="494" spans="1:6" ht="15.75" customHeight="1">
      <c r="A494" s="16"/>
      <c r="F494" s="29"/>
    </row>
    <row r="495" spans="1:6" ht="15.75" customHeight="1">
      <c r="A495" s="16"/>
      <c r="F495" s="29"/>
    </row>
    <row r="496" spans="1:6" ht="15.75" customHeight="1">
      <c r="A496" s="16"/>
      <c r="F496" s="29"/>
    </row>
    <row r="497" spans="1:6" ht="15.75" customHeight="1">
      <c r="A497" s="16"/>
      <c r="F497" s="29"/>
    </row>
    <row r="498" spans="1:6" ht="15.75" customHeight="1">
      <c r="A498" s="16"/>
      <c r="F498" s="29"/>
    </row>
    <row r="499" spans="1:6" ht="15.75" customHeight="1">
      <c r="A499" s="16"/>
      <c r="F499" s="29"/>
    </row>
    <row r="500" spans="1:6" ht="15.75" customHeight="1">
      <c r="A500" s="16"/>
      <c r="F500" s="29"/>
    </row>
    <row r="501" spans="1:6" ht="15.75" customHeight="1">
      <c r="A501" s="16"/>
      <c r="F501" s="29"/>
    </row>
    <row r="502" spans="1:6" ht="15.75" customHeight="1">
      <c r="A502" s="16"/>
      <c r="F502" s="29"/>
    </row>
    <row r="503" spans="1:6" ht="15.75" customHeight="1">
      <c r="A503" s="16"/>
      <c r="F503" s="29"/>
    </row>
    <row r="504" spans="1:6" ht="15.75" customHeight="1">
      <c r="A504" s="16"/>
      <c r="F504" s="29"/>
    </row>
    <row r="505" spans="1:6" ht="15.75" customHeight="1">
      <c r="A505" s="16"/>
      <c r="F505" s="29"/>
    </row>
    <row r="506" spans="1:6" ht="15.75" customHeight="1">
      <c r="A506" s="16"/>
      <c r="F506" s="29"/>
    </row>
    <row r="507" spans="1:6" ht="15.75" customHeight="1">
      <c r="A507" s="16"/>
      <c r="F507" s="29"/>
    </row>
    <row r="508" spans="1:6" ht="15.75" customHeight="1">
      <c r="A508" s="16"/>
      <c r="F508" s="29"/>
    </row>
    <row r="509" spans="1:6" ht="15.75" customHeight="1">
      <c r="A509" s="16"/>
      <c r="F509" s="29"/>
    </row>
    <row r="510" spans="1:6" ht="15.75" customHeight="1">
      <c r="A510" s="16"/>
      <c r="F510" s="29"/>
    </row>
    <row r="511" spans="1:6" ht="15.75" customHeight="1">
      <c r="A511" s="16"/>
      <c r="F511" s="29"/>
    </row>
    <row r="512" spans="1:6" ht="15.75" customHeight="1">
      <c r="A512" s="16"/>
      <c r="F512" s="29"/>
    </row>
    <row r="513" spans="1:6" ht="15.75" customHeight="1">
      <c r="A513" s="16"/>
      <c r="F513" s="29"/>
    </row>
    <row r="514" spans="1:6" ht="15.75" customHeight="1">
      <c r="A514" s="16"/>
      <c r="F514" s="29"/>
    </row>
    <row r="515" spans="1:6" ht="15.75" customHeight="1">
      <c r="A515" s="16"/>
      <c r="F515" s="29"/>
    </row>
    <row r="516" spans="1:6" ht="15.75" customHeight="1">
      <c r="A516" s="16"/>
      <c r="F516" s="29"/>
    </row>
    <row r="517" spans="1:6" ht="15.75" customHeight="1">
      <c r="A517" s="16"/>
      <c r="F517" s="29"/>
    </row>
    <row r="518" spans="1:6" ht="15.75" customHeight="1">
      <c r="A518" s="16"/>
      <c r="F518" s="29"/>
    </row>
    <row r="519" spans="1:6" ht="15.75" customHeight="1">
      <c r="A519" s="16"/>
      <c r="F519" s="29"/>
    </row>
    <row r="520" spans="1:6" ht="15.75" customHeight="1">
      <c r="A520" s="16"/>
      <c r="F520" s="29"/>
    </row>
    <row r="521" spans="1:6" ht="15.75" customHeight="1">
      <c r="A521" s="16"/>
      <c r="F521" s="29"/>
    </row>
    <row r="522" spans="1:6" ht="15.75" customHeight="1">
      <c r="A522" s="16"/>
      <c r="F522" s="29"/>
    </row>
    <row r="523" spans="1:6" ht="15.75" customHeight="1">
      <c r="A523" s="16"/>
      <c r="F523" s="29"/>
    </row>
    <row r="524" spans="1:6" ht="15.75" customHeight="1">
      <c r="A524" s="16"/>
      <c r="F524" s="29"/>
    </row>
    <row r="525" spans="1:6" ht="15.75" customHeight="1">
      <c r="A525" s="16"/>
      <c r="F525" s="29"/>
    </row>
    <row r="526" spans="1:6" ht="15.75" customHeight="1">
      <c r="A526" s="16"/>
      <c r="F526" s="29"/>
    </row>
    <row r="527" spans="1:6" ht="15.75" customHeight="1">
      <c r="A527" s="16"/>
      <c r="F527" s="29"/>
    </row>
    <row r="528" spans="1:6" ht="15.75" customHeight="1">
      <c r="A528" s="16"/>
      <c r="F528" s="29"/>
    </row>
    <row r="529" spans="1:6" ht="15.75" customHeight="1">
      <c r="A529" s="16"/>
      <c r="F529" s="29"/>
    </row>
    <row r="530" spans="1:6" ht="15.75" customHeight="1">
      <c r="A530" s="16"/>
      <c r="F530" s="29"/>
    </row>
    <row r="531" spans="1:6" ht="15.75" customHeight="1">
      <c r="A531" s="16"/>
      <c r="F531" s="29"/>
    </row>
    <row r="532" spans="1:6" ht="15.75" customHeight="1">
      <c r="A532" s="16"/>
      <c r="F532" s="29"/>
    </row>
    <row r="533" spans="1:6" ht="15.75" customHeight="1">
      <c r="A533" s="16"/>
      <c r="F533" s="29"/>
    </row>
    <row r="534" spans="1:6" ht="15.75" customHeight="1">
      <c r="A534" s="16"/>
      <c r="F534" s="29"/>
    </row>
    <row r="535" spans="1:6" ht="15.75" customHeight="1">
      <c r="A535" s="16"/>
      <c r="F535" s="29"/>
    </row>
    <row r="536" spans="1:6" ht="15.75" customHeight="1">
      <c r="A536" s="16"/>
      <c r="F536" s="29"/>
    </row>
    <row r="537" spans="1:6" ht="15.75" customHeight="1">
      <c r="A537" s="16"/>
      <c r="F537" s="29"/>
    </row>
    <row r="538" spans="1:6" ht="15.75" customHeight="1">
      <c r="A538" s="16"/>
      <c r="F538" s="29"/>
    </row>
    <row r="539" spans="1:6" ht="15.75" customHeight="1">
      <c r="A539" s="16"/>
      <c r="F539" s="29"/>
    </row>
    <row r="540" spans="1:6" ht="15.75" customHeight="1">
      <c r="A540" s="16"/>
      <c r="F540" s="29"/>
    </row>
    <row r="541" spans="1:6" ht="15.75" customHeight="1">
      <c r="A541" s="16"/>
      <c r="F541" s="29"/>
    </row>
    <row r="542" spans="1:6" ht="15.75" customHeight="1">
      <c r="A542" s="16"/>
      <c r="F542" s="29"/>
    </row>
    <row r="543" spans="1:6" ht="15.75" customHeight="1">
      <c r="A543" s="16"/>
      <c r="F543" s="29"/>
    </row>
    <row r="544" spans="1:6" ht="15.75" customHeight="1">
      <c r="A544" s="16"/>
      <c r="F544" s="29"/>
    </row>
    <row r="545" spans="1:6" ht="15.75" customHeight="1">
      <c r="A545" s="16"/>
      <c r="F545" s="29"/>
    </row>
    <row r="546" spans="1:6" ht="15.75" customHeight="1">
      <c r="A546" s="16"/>
      <c r="F546" s="29"/>
    </row>
    <row r="547" spans="1:6" ht="15.75" customHeight="1">
      <c r="A547" s="16"/>
      <c r="F547" s="29"/>
    </row>
    <row r="548" spans="1:6" ht="15.75" customHeight="1">
      <c r="A548" s="16"/>
      <c r="F548" s="29"/>
    </row>
    <row r="549" spans="1:6" ht="15.75" customHeight="1">
      <c r="A549" s="16"/>
      <c r="F549" s="29"/>
    </row>
    <row r="550" spans="1:6" ht="15.75" customHeight="1">
      <c r="A550" s="16"/>
      <c r="F550" s="29"/>
    </row>
    <row r="551" spans="1:6" ht="15.75" customHeight="1">
      <c r="A551" s="16"/>
      <c r="F551" s="29"/>
    </row>
    <row r="552" spans="1:6" ht="15.75" customHeight="1">
      <c r="A552" s="16"/>
      <c r="F552" s="29"/>
    </row>
    <row r="553" spans="1:6" ht="15.75" customHeight="1">
      <c r="A553" s="16"/>
      <c r="F553" s="29"/>
    </row>
    <row r="554" spans="1:6" ht="15.75" customHeight="1">
      <c r="A554" s="16"/>
      <c r="F554" s="29"/>
    </row>
    <row r="555" spans="1:6" ht="15.75" customHeight="1">
      <c r="A555" s="16"/>
      <c r="F555" s="29"/>
    </row>
    <row r="556" spans="1:6" ht="15.75" customHeight="1">
      <c r="A556" s="16"/>
      <c r="F556" s="29"/>
    </row>
    <row r="557" spans="1:6" ht="15.75" customHeight="1">
      <c r="A557" s="16"/>
      <c r="F557" s="29"/>
    </row>
    <row r="558" spans="1:6" ht="15.75" customHeight="1">
      <c r="A558" s="16"/>
      <c r="F558" s="29"/>
    </row>
    <row r="559" spans="1:6" ht="15.75" customHeight="1">
      <c r="A559" s="16"/>
      <c r="F559" s="29"/>
    </row>
    <row r="560" spans="1:6" ht="15.75" customHeight="1">
      <c r="A560" s="16"/>
      <c r="F560" s="29"/>
    </row>
    <row r="561" spans="1:6" ht="15.75" customHeight="1">
      <c r="A561" s="16"/>
      <c r="F561" s="29"/>
    </row>
    <row r="562" spans="1:6" ht="15.75" customHeight="1">
      <c r="A562" s="16"/>
      <c r="F562" s="29"/>
    </row>
    <row r="563" spans="1:6" ht="15.75" customHeight="1">
      <c r="A563" s="16"/>
      <c r="F563" s="29"/>
    </row>
    <row r="564" spans="1:6" ht="15.75" customHeight="1">
      <c r="A564" s="16"/>
      <c r="F564" s="29"/>
    </row>
    <row r="565" spans="1:6" ht="15.75" customHeight="1">
      <c r="A565" s="16"/>
      <c r="F565" s="29"/>
    </row>
    <row r="566" spans="1:6" ht="15.75" customHeight="1">
      <c r="A566" s="16"/>
      <c r="F566" s="29"/>
    </row>
    <row r="567" spans="1:6" ht="15.75" customHeight="1">
      <c r="A567" s="16"/>
      <c r="F567" s="29"/>
    </row>
    <row r="568" spans="1:6" ht="15.75" customHeight="1">
      <c r="A568" s="16"/>
      <c r="F568" s="29"/>
    </row>
    <row r="569" spans="1:6" ht="15.75" customHeight="1">
      <c r="A569" s="16"/>
      <c r="F569" s="29"/>
    </row>
    <row r="570" spans="1:6" ht="15.75" customHeight="1">
      <c r="A570" s="16"/>
      <c r="F570" s="29"/>
    </row>
    <row r="571" spans="1:6" ht="15.75" customHeight="1">
      <c r="A571" s="16"/>
      <c r="F571" s="29"/>
    </row>
    <row r="572" spans="1:6" ht="15.75" customHeight="1">
      <c r="A572" s="16"/>
      <c r="F572" s="29"/>
    </row>
    <row r="573" spans="1:6" ht="15.75" customHeight="1">
      <c r="A573" s="16"/>
      <c r="F573" s="29"/>
    </row>
    <row r="574" spans="1:6" ht="15.75" customHeight="1">
      <c r="A574" s="16"/>
      <c r="F574" s="29"/>
    </row>
    <row r="575" spans="1:6" ht="15.75" customHeight="1">
      <c r="A575" s="16"/>
      <c r="F575" s="29"/>
    </row>
    <row r="576" spans="1:6" ht="15.75" customHeight="1">
      <c r="A576" s="16"/>
      <c r="F576" s="29"/>
    </row>
    <row r="577" spans="1:6" ht="15.75" customHeight="1">
      <c r="A577" s="16"/>
      <c r="F577" s="29"/>
    </row>
    <row r="578" spans="1:6" ht="15.75" customHeight="1">
      <c r="A578" s="16"/>
      <c r="F578" s="29"/>
    </row>
    <row r="579" spans="1:6" ht="15.75" customHeight="1">
      <c r="A579" s="16"/>
      <c r="F579" s="29"/>
    </row>
    <row r="580" spans="1:6" ht="15.75" customHeight="1">
      <c r="A580" s="16"/>
      <c r="F580" s="29"/>
    </row>
    <row r="581" spans="1:6" ht="15.75" customHeight="1">
      <c r="A581" s="16"/>
      <c r="F581" s="29"/>
    </row>
    <row r="582" spans="1:6" ht="15.75" customHeight="1">
      <c r="A582" s="16"/>
      <c r="F582" s="29"/>
    </row>
    <row r="583" spans="1:6" ht="15.75" customHeight="1">
      <c r="A583" s="16"/>
      <c r="F583" s="29"/>
    </row>
    <row r="584" spans="1:6" ht="15.75" customHeight="1">
      <c r="A584" s="16"/>
      <c r="F584" s="29"/>
    </row>
    <row r="585" spans="1:6" ht="15.75" customHeight="1">
      <c r="A585" s="16"/>
      <c r="F585" s="29"/>
    </row>
    <row r="586" spans="1:6" ht="15.75" customHeight="1">
      <c r="A586" s="16"/>
      <c r="F586" s="29"/>
    </row>
    <row r="587" spans="1:6" ht="15.75" customHeight="1">
      <c r="A587" s="16"/>
      <c r="F587" s="29"/>
    </row>
    <row r="588" spans="1:6" ht="15.75" customHeight="1">
      <c r="A588" s="16"/>
      <c r="F588" s="29"/>
    </row>
    <row r="589" spans="1:6" ht="15.75" customHeight="1">
      <c r="A589" s="16"/>
      <c r="F589" s="29"/>
    </row>
    <row r="590" spans="1:6" ht="15.75" customHeight="1">
      <c r="A590" s="16"/>
      <c r="F590" s="29"/>
    </row>
    <row r="591" spans="1:6" ht="15.75" customHeight="1">
      <c r="A591" s="16"/>
      <c r="F591" s="29"/>
    </row>
    <row r="592" spans="1:6" ht="15.75" customHeight="1">
      <c r="A592" s="16"/>
      <c r="F592" s="29"/>
    </row>
    <row r="593" spans="1:6" ht="15.75" customHeight="1">
      <c r="A593" s="16"/>
      <c r="F593" s="29"/>
    </row>
    <row r="594" spans="1:6" ht="15.75" customHeight="1">
      <c r="A594" s="16"/>
      <c r="F594" s="29"/>
    </row>
    <row r="595" spans="1:6" ht="15.75" customHeight="1">
      <c r="A595" s="16"/>
      <c r="F595" s="29"/>
    </row>
    <row r="596" spans="1:6" ht="15.75" customHeight="1">
      <c r="A596" s="16"/>
      <c r="F596" s="29"/>
    </row>
    <row r="597" spans="1:6" ht="15.75" customHeight="1">
      <c r="A597" s="16"/>
      <c r="F597" s="29"/>
    </row>
    <row r="598" spans="1:6" ht="15.75" customHeight="1">
      <c r="A598" s="16"/>
      <c r="F598" s="29"/>
    </row>
    <row r="599" spans="1:6" ht="15.75" customHeight="1">
      <c r="A599" s="16"/>
      <c r="F599" s="29"/>
    </row>
    <row r="600" spans="1:6" ht="15.75" customHeight="1">
      <c r="A600" s="16"/>
      <c r="F600" s="29"/>
    </row>
    <row r="601" spans="1:6" ht="15.75" customHeight="1">
      <c r="A601" s="16"/>
      <c r="F601" s="29"/>
    </row>
    <row r="602" spans="1:6" ht="15.75" customHeight="1">
      <c r="A602" s="16"/>
      <c r="F602" s="29"/>
    </row>
    <row r="603" spans="1:6" ht="15.75" customHeight="1">
      <c r="A603" s="16"/>
      <c r="F603" s="29"/>
    </row>
    <row r="604" spans="1:6" ht="15.75" customHeight="1">
      <c r="A604" s="16"/>
      <c r="F604" s="29"/>
    </row>
    <row r="605" spans="1:6" ht="15.75" customHeight="1">
      <c r="A605" s="16"/>
      <c r="F605" s="29"/>
    </row>
    <row r="606" spans="1:6" ht="15.75" customHeight="1">
      <c r="A606" s="16"/>
      <c r="F606" s="29"/>
    </row>
    <row r="607" spans="1:6" ht="15.75" customHeight="1">
      <c r="A607" s="16"/>
      <c r="F607" s="29"/>
    </row>
    <row r="608" spans="1:6" ht="15.75" customHeight="1">
      <c r="A608" s="16"/>
      <c r="F608" s="29"/>
    </row>
    <row r="609" spans="1:6" ht="15.75" customHeight="1">
      <c r="A609" s="16"/>
      <c r="F609" s="29"/>
    </row>
    <row r="610" spans="1:6" ht="15.75" customHeight="1">
      <c r="A610" s="16"/>
      <c r="F610" s="29"/>
    </row>
    <row r="611" spans="1:6" ht="15.75" customHeight="1">
      <c r="A611" s="16"/>
      <c r="F611" s="29"/>
    </row>
    <row r="612" spans="1:6" ht="15.75" customHeight="1">
      <c r="A612" s="16"/>
      <c r="F612" s="29"/>
    </row>
    <row r="613" spans="1:6" ht="15.75" customHeight="1">
      <c r="A613" s="16"/>
      <c r="F613" s="29"/>
    </row>
    <row r="614" spans="1:6" ht="15.75" customHeight="1">
      <c r="A614" s="16"/>
      <c r="F614" s="29"/>
    </row>
    <row r="615" spans="1:6" ht="15.75" customHeight="1">
      <c r="A615" s="16"/>
      <c r="F615" s="29"/>
    </row>
    <row r="616" spans="1:6" ht="15.75" customHeight="1">
      <c r="A616" s="16"/>
      <c r="F616" s="29"/>
    </row>
    <row r="617" spans="1:6" ht="15.75" customHeight="1">
      <c r="A617" s="16"/>
      <c r="F617" s="29"/>
    </row>
    <row r="618" spans="1:6" ht="15.75" customHeight="1">
      <c r="A618" s="16"/>
      <c r="F618" s="29"/>
    </row>
    <row r="619" spans="1:6" ht="15.75" customHeight="1">
      <c r="A619" s="16"/>
      <c r="F619" s="29"/>
    </row>
    <row r="620" spans="1:6" ht="15.75" customHeight="1">
      <c r="A620" s="16"/>
      <c r="F620" s="29"/>
    </row>
    <row r="621" spans="1:6" ht="15.75" customHeight="1">
      <c r="A621" s="16"/>
      <c r="F621" s="29"/>
    </row>
    <row r="622" spans="1:6" ht="15.75" customHeight="1">
      <c r="A622" s="16"/>
      <c r="F622" s="29"/>
    </row>
    <row r="623" spans="1:6" ht="15.75" customHeight="1">
      <c r="A623" s="16"/>
      <c r="F623" s="29"/>
    </row>
    <row r="624" spans="1:6" ht="15.75" customHeight="1">
      <c r="A624" s="16"/>
      <c r="F624" s="29"/>
    </row>
    <row r="625" spans="1:6" ht="15.75" customHeight="1">
      <c r="A625" s="16"/>
      <c r="F625" s="29"/>
    </row>
    <row r="626" spans="1:6" ht="15.75" customHeight="1">
      <c r="A626" s="16"/>
      <c r="F626" s="29"/>
    </row>
    <row r="627" spans="1:6" ht="15.75" customHeight="1">
      <c r="A627" s="16"/>
      <c r="F627" s="29"/>
    </row>
    <row r="628" spans="1:6" ht="15.75" customHeight="1">
      <c r="A628" s="16"/>
      <c r="F628" s="29"/>
    </row>
    <row r="629" spans="1:6" ht="15.75" customHeight="1">
      <c r="A629" s="16"/>
      <c r="F629" s="29"/>
    </row>
    <row r="630" spans="1:6" ht="15.75" customHeight="1">
      <c r="A630" s="16"/>
      <c r="F630" s="29"/>
    </row>
    <row r="631" spans="1:6" ht="15.75" customHeight="1">
      <c r="A631" s="16"/>
      <c r="F631" s="29"/>
    </row>
    <row r="632" spans="1:6" ht="15.75" customHeight="1">
      <c r="A632" s="16"/>
      <c r="F632" s="29"/>
    </row>
    <row r="633" spans="1:6" ht="15.75" customHeight="1">
      <c r="A633" s="16"/>
      <c r="F633" s="29"/>
    </row>
    <row r="634" spans="1:6" ht="15.75" customHeight="1">
      <c r="A634" s="16"/>
      <c r="F634" s="29"/>
    </row>
    <row r="635" spans="1:6" ht="15.75" customHeight="1">
      <c r="A635" s="16"/>
      <c r="F635" s="29"/>
    </row>
    <row r="636" spans="1:6" ht="15.75" customHeight="1">
      <c r="A636" s="16"/>
      <c r="F636" s="29"/>
    </row>
    <row r="637" spans="1:6" ht="15.75" customHeight="1">
      <c r="A637" s="16"/>
      <c r="F637" s="29"/>
    </row>
    <row r="638" spans="1:6" ht="15.75" customHeight="1">
      <c r="A638" s="16"/>
      <c r="F638" s="29"/>
    </row>
    <row r="639" spans="1:6" ht="15.75" customHeight="1">
      <c r="A639" s="16"/>
      <c r="F639" s="29"/>
    </row>
    <row r="640" spans="1:6" ht="15.75" customHeight="1">
      <c r="A640" s="16"/>
      <c r="F640" s="29"/>
    </row>
    <row r="641" spans="1:6" ht="15.75" customHeight="1">
      <c r="A641" s="16"/>
      <c r="F641" s="29"/>
    </row>
    <row r="642" spans="1:6" ht="15.75" customHeight="1">
      <c r="A642" s="16"/>
      <c r="F642" s="29"/>
    </row>
    <row r="643" spans="1:6" ht="15.75" customHeight="1">
      <c r="A643" s="16"/>
      <c r="F643" s="29"/>
    </row>
    <row r="644" spans="1:6" ht="15.75" customHeight="1">
      <c r="A644" s="16"/>
      <c r="F644" s="29"/>
    </row>
    <row r="645" spans="1:6" ht="15.75" customHeight="1">
      <c r="A645" s="16"/>
      <c r="F645" s="29"/>
    </row>
    <row r="646" spans="1:6" ht="15.75" customHeight="1">
      <c r="A646" s="16"/>
      <c r="F646" s="29"/>
    </row>
    <row r="647" spans="1:6" ht="15.75" customHeight="1">
      <c r="A647" s="16"/>
      <c r="F647" s="29"/>
    </row>
    <row r="648" spans="1:6" ht="15.75" customHeight="1">
      <c r="A648" s="16"/>
      <c r="F648" s="29"/>
    </row>
    <row r="649" spans="1:6" ht="15.75" customHeight="1">
      <c r="A649" s="16"/>
      <c r="F649" s="29"/>
    </row>
    <row r="650" spans="1:6" ht="15.75" customHeight="1">
      <c r="A650" s="16"/>
      <c r="F650" s="29"/>
    </row>
    <row r="651" spans="1:6" ht="15.75" customHeight="1">
      <c r="A651" s="16"/>
      <c r="F651" s="29"/>
    </row>
    <row r="652" spans="1:6" ht="15.75" customHeight="1">
      <c r="A652" s="16"/>
      <c r="F652" s="29"/>
    </row>
    <row r="653" spans="1:6" ht="15.75" customHeight="1">
      <c r="A653" s="16"/>
      <c r="F653" s="29"/>
    </row>
    <row r="654" spans="1:6" ht="15.75" customHeight="1">
      <c r="A654" s="16"/>
      <c r="F654" s="29"/>
    </row>
    <row r="655" spans="1:6" ht="15.75" customHeight="1">
      <c r="A655" s="16"/>
      <c r="F655" s="29"/>
    </row>
    <row r="656" spans="1:6" ht="15.75" customHeight="1">
      <c r="A656" s="16"/>
      <c r="F656" s="29"/>
    </row>
    <row r="657" spans="1:6" ht="15.75" customHeight="1">
      <c r="A657" s="16"/>
      <c r="F657" s="29"/>
    </row>
    <row r="658" spans="1:6" ht="15.75" customHeight="1">
      <c r="A658" s="16"/>
      <c r="F658" s="29"/>
    </row>
    <row r="659" spans="1:6" ht="15.75" customHeight="1">
      <c r="A659" s="16"/>
      <c r="F659" s="29"/>
    </row>
    <row r="660" spans="1:6" ht="15.75" customHeight="1">
      <c r="A660" s="16"/>
      <c r="F660" s="29"/>
    </row>
    <row r="661" spans="1:6" ht="15.75" customHeight="1">
      <c r="A661" s="16"/>
      <c r="F661" s="29"/>
    </row>
    <row r="662" spans="1:6" ht="15.75" customHeight="1">
      <c r="A662" s="16"/>
      <c r="F662" s="29"/>
    </row>
    <row r="663" spans="1:6" ht="15.75" customHeight="1">
      <c r="A663" s="16"/>
      <c r="F663" s="29"/>
    </row>
    <row r="664" spans="1:6" ht="15.75" customHeight="1">
      <c r="A664" s="16"/>
      <c r="F664" s="29"/>
    </row>
    <row r="665" spans="1:6" ht="15.75" customHeight="1">
      <c r="A665" s="16"/>
      <c r="F665" s="29"/>
    </row>
    <row r="666" spans="1:6" ht="15.75" customHeight="1">
      <c r="A666" s="16"/>
      <c r="F666" s="29"/>
    </row>
    <row r="667" spans="1:6" ht="15.75" customHeight="1">
      <c r="A667" s="16"/>
      <c r="F667" s="29"/>
    </row>
    <row r="668" spans="1:6" ht="15.75" customHeight="1">
      <c r="A668" s="16"/>
      <c r="F668" s="29"/>
    </row>
    <row r="669" spans="1:6" ht="15.75" customHeight="1">
      <c r="A669" s="16"/>
      <c r="F669" s="29"/>
    </row>
    <row r="670" spans="1:6" ht="15.75" customHeight="1">
      <c r="A670" s="16"/>
      <c r="F670" s="29"/>
    </row>
    <row r="671" spans="1:6" ht="15.75" customHeight="1">
      <c r="A671" s="16"/>
      <c r="F671" s="29"/>
    </row>
    <row r="672" spans="1:6" ht="15.75" customHeight="1">
      <c r="A672" s="16"/>
      <c r="F672" s="29"/>
    </row>
    <row r="673" spans="1:6" ht="15.75" customHeight="1">
      <c r="A673" s="16"/>
      <c r="F673" s="29"/>
    </row>
    <row r="674" spans="1:6" ht="15.75" customHeight="1">
      <c r="A674" s="16"/>
      <c r="F674" s="29"/>
    </row>
    <row r="675" spans="1:6" ht="15.75" customHeight="1">
      <c r="A675" s="16"/>
      <c r="F675" s="29"/>
    </row>
    <row r="676" spans="1:6" ht="15.75" customHeight="1">
      <c r="A676" s="16"/>
      <c r="F676" s="29"/>
    </row>
    <row r="677" spans="1:6" ht="15.75" customHeight="1">
      <c r="A677" s="16"/>
      <c r="F677" s="29"/>
    </row>
    <row r="678" spans="1:6" ht="15.75" customHeight="1">
      <c r="A678" s="16"/>
      <c r="F678" s="29"/>
    </row>
    <row r="679" spans="1:6" ht="15.75" customHeight="1">
      <c r="A679" s="16"/>
      <c r="F679" s="29"/>
    </row>
    <row r="680" spans="1:6" ht="15.75" customHeight="1">
      <c r="A680" s="16"/>
      <c r="F680" s="29"/>
    </row>
    <row r="681" spans="1:6" ht="15.75" customHeight="1">
      <c r="A681" s="16"/>
      <c r="F681" s="29"/>
    </row>
    <row r="682" spans="1:6" ht="15.75" customHeight="1">
      <c r="A682" s="16"/>
      <c r="F682" s="29"/>
    </row>
    <row r="683" spans="1:6" ht="15.75" customHeight="1">
      <c r="A683" s="16"/>
      <c r="F683" s="29"/>
    </row>
    <row r="684" spans="1:6" ht="15.75" customHeight="1">
      <c r="A684" s="16"/>
      <c r="F684" s="29"/>
    </row>
    <row r="685" spans="1:6" ht="15.75" customHeight="1">
      <c r="A685" s="16"/>
      <c r="F685" s="29"/>
    </row>
    <row r="686" spans="1:6" ht="15.75" customHeight="1">
      <c r="A686" s="16"/>
      <c r="F686" s="29"/>
    </row>
    <row r="687" spans="1:6" ht="15.75" customHeight="1">
      <c r="A687" s="16"/>
      <c r="F687" s="29"/>
    </row>
    <row r="688" spans="1:6" ht="15.75" customHeight="1">
      <c r="A688" s="16"/>
      <c r="F688" s="29"/>
    </row>
    <row r="689" spans="1:6" ht="15.75" customHeight="1">
      <c r="A689" s="16"/>
      <c r="F689" s="29"/>
    </row>
    <row r="690" spans="1:6" ht="15.75" customHeight="1">
      <c r="A690" s="16"/>
      <c r="F690" s="29"/>
    </row>
    <row r="691" spans="1:6" ht="15.75" customHeight="1">
      <c r="A691" s="16"/>
      <c r="F691" s="29"/>
    </row>
    <row r="692" spans="1:6" ht="15.75" customHeight="1">
      <c r="A692" s="16"/>
      <c r="F692" s="29"/>
    </row>
    <row r="693" spans="1:6" ht="15.75" customHeight="1">
      <c r="A693" s="16"/>
      <c r="F693" s="29"/>
    </row>
    <row r="694" spans="1:6" ht="15.75" customHeight="1">
      <c r="A694" s="16"/>
      <c r="F694" s="29"/>
    </row>
    <row r="695" spans="1:6" ht="15.75" customHeight="1">
      <c r="A695" s="16"/>
      <c r="F695" s="29"/>
    </row>
    <row r="696" spans="1:6" ht="15.75" customHeight="1">
      <c r="A696" s="16"/>
      <c r="F696" s="29"/>
    </row>
    <row r="697" spans="1:6" ht="15.75" customHeight="1">
      <c r="A697" s="16"/>
      <c r="F697" s="29"/>
    </row>
    <row r="698" spans="1:6" ht="15.75" customHeight="1">
      <c r="A698" s="16"/>
      <c r="F698" s="29"/>
    </row>
    <row r="699" spans="1:6" ht="15.75" customHeight="1">
      <c r="A699" s="16"/>
      <c r="F699" s="29"/>
    </row>
    <row r="700" spans="1:6" ht="15.75" customHeight="1">
      <c r="A700" s="16"/>
      <c r="F700" s="29"/>
    </row>
    <row r="701" spans="1:6" ht="15.75" customHeight="1">
      <c r="A701" s="16"/>
      <c r="F701" s="29"/>
    </row>
    <row r="702" spans="1:6" ht="15.75" customHeight="1">
      <c r="A702" s="16"/>
      <c r="F702" s="29"/>
    </row>
    <row r="703" spans="1:6" ht="15.75" customHeight="1">
      <c r="A703" s="16"/>
      <c r="F703" s="29"/>
    </row>
    <row r="704" spans="1:6" ht="15.75" customHeight="1">
      <c r="A704" s="16"/>
      <c r="F704" s="29"/>
    </row>
    <row r="705" spans="1:6" ht="15.75" customHeight="1">
      <c r="A705" s="16"/>
      <c r="F705" s="29"/>
    </row>
    <row r="706" spans="1:6" ht="15.75" customHeight="1">
      <c r="A706" s="16"/>
      <c r="F706" s="29"/>
    </row>
    <row r="707" spans="1:6" ht="15.75" customHeight="1">
      <c r="A707" s="16"/>
      <c r="F707" s="29"/>
    </row>
    <row r="708" spans="1:6" ht="15.75" customHeight="1">
      <c r="A708" s="16"/>
      <c r="F708" s="29"/>
    </row>
    <row r="709" spans="1:6" ht="15.75" customHeight="1">
      <c r="A709" s="16"/>
      <c r="F709" s="29"/>
    </row>
    <row r="710" spans="1:6" ht="15.75" customHeight="1">
      <c r="A710" s="16"/>
      <c r="F710" s="29"/>
    </row>
    <row r="711" spans="1:6" ht="15.75" customHeight="1">
      <c r="A711" s="16"/>
      <c r="F711" s="29"/>
    </row>
    <row r="712" spans="1:6" ht="15.75" customHeight="1">
      <c r="A712" s="16"/>
      <c r="F712" s="29"/>
    </row>
    <row r="713" spans="1:6" ht="15.75" customHeight="1">
      <c r="A713" s="16"/>
      <c r="F713" s="29"/>
    </row>
    <row r="714" spans="1:6" ht="15.75" customHeight="1">
      <c r="A714" s="16"/>
      <c r="F714" s="29"/>
    </row>
    <row r="715" spans="1:6" ht="15.75" customHeight="1">
      <c r="A715" s="16"/>
      <c r="F715" s="29"/>
    </row>
    <row r="716" spans="1:6" ht="15.75" customHeight="1">
      <c r="A716" s="16"/>
      <c r="F716" s="29"/>
    </row>
    <row r="717" spans="1:6" ht="15.75" customHeight="1">
      <c r="A717" s="16"/>
      <c r="F717" s="29"/>
    </row>
    <row r="718" spans="1:6" ht="15.75" customHeight="1">
      <c r="A718" s="16"/>
      <c r="F718" s="29"/>
    </row>
    <row r="719" spans="1:6" ht="15.75" customHeight="1">
      <c r="A719" s="16"/>
      <c r="F719" s="29"/>
    </row>
    <row r="720" spans="1:6" ht="15.75" customHeight="1">
      <c r="A720" s="16"/>
      <c r="F720" s="29"/>
    </row>
    <row r="721" spans="1:6" ht="15.75" customHeight="1">
      <c r="A721" s="16"/>
      <c r="F721" s="29"/>
    </row>
    <row r="722" spans="1:6" ht="15.75" customHeight="1">
      <c r="A722" s="16"/>
      <c r="F722" s="29"/>
    </row>
    <row r="723" spans="1:6" ht="15.75" customHeight="1">
      <c r="A723" s="16"/>
      <c r="F723" s="29"/>
    </row>
    <row r="724" spans="1:6" ht="15.75" customHeight="1">
      <c r="A724" s="16"/>
      <c r="F724" s="29"/>
    </row>
    <row r="725" spans="1:6" ht="15.75" customHeight="1">
      <c r="A725" s="16"/>
      <c r="F725" s="29"/>
    </row>
    <row r="726" spans="1:6" ht="15.75" customHeight="1">
      <c r="A726" s="16"/>
      <c r="F726" s="29"/>
    </row>
    <row r="727" spans="1:6" ht="15.75" customHeight="1">
      <c r="A727" s="16"/>
      <c r="F727" s="29"/>
    </row>
    <row r="728" spans="1:6" ht="15.75" customHeight="1">
      <c r="A728" s="16"/>
      <c r="F728" s="29"/>
    </row>
    <row r="729" spans="1:6" ht="15.75" customHeight="1">
      <c r="A729" s="16"/>
      <c r="F729" s="29"/>
    </row>
    <row r="730" spans="1:6" ht="15.75" customHeight="1">
      <c r="A730" s="16"/>
      <c r="F730" s="29"/>
    </row>
    <row r="731" spans="1:6" ht="15.75" customHeight="1">
      <c r="A731" s="16"/>
      <c r="F731" s="29"/>
    </row>
    <row r="732" spans="1:6" ht="15.75" customHeight="1">
      <c r="A732" s="16"/>
      <c r="F732" s="29"/>
    </row>
    <row r="733" spans="1:6" ht="15.75" customHeight="1">
      <c r="A733" s="16"/>
      <c r="F733" s="29"/>
    </row>
    <row r="734" spans="1:6" ht="15.75" customHeight="1">
      <c r="A734" s="16"/>
      <c r="F734" s="29"/>
    </row>
    <row r="735" spans="1:6" ht="15.75" customHeight="1">
      <c r="A735" s="16"/>
      <c r="F735" s="29"/>
    </row>
    <row r="736" spans="1:6" ht="15.75" customHeight="1">
      <c r="A736" s="16"/>
      <c r="F736" s="29"/>
    </row>
    <row r="737" spans="1:6" ht="15.75" customHeight="1">
      <c r="A737" s="16"/>
      <c r="F737" s="29"/>
    </row>
    <row r="738" spans="1:6" ht="15.75" customHeight="1">
      <c r="A738" s="16"/>
      <c r="F738" s="29"/>
    </row>
    <row r="739" spans="1:6" ht="15.75" customHeight="1">
      <c r="A739" s="16"/>
      <c r="F739" s="29"/>
    </row>
    <row r="740" spans="1:6" ht="15.75" customHeight="1">
      <c r="A740" s="16"/>
      <c r="F740" s="29"/>
    </row>
    <row r="741" spans="1:6" ht="15.75" customHeight="1">
      <c r="A741" s="16"/>
      <c r="F741" s="29"/>
    </row>
    <row r="742" spans="1:6" ht="15.75" customHeight="1">
      <c r="A742" s="16"/>
      <c r="F742" s="29"/>
    </row>
    <row r="743" spans="1:6" ht="15.75" customHeight="1">
      <c r="A743" s="16"/>
      <c r="F743" s="29"/>
    </row>
    <row r="744" spans="1:6" ht="15.75" customHeight="1">
      <c r="A744" s="16"/>
      <c r="F744" s="29"/>
    </row>
    <row r="745" spans="1:6" ht="15.75" customHeight="1">
      <c r="A745" s="16"/>
      <c r="F745" s="29"/>
    </row>
    <row r="746" spans="1:6" ht="15.75" customHeight="1">
      <c r="A746" s="16"/>
      <c r="F746" s="29"/>
    </row>
    <row r="747" spans="1:6" ht="15.75" customHeight="1">
      <c r="A747" s="16"/>
      <c r="F747" s="29"/>
    </row>
    <row r="748" spans="1:6" ht="15.75" customHeight="1">
      <c r="A748" s="16"/>
      <c r="F748" s="29"/>
    </row>
    <row r="749" spans="1:6" ht="15.75" customHeight="1">
      <c r="A749" s="16"/>
      <c r="F749" s="29"/>
    </row>
    <row r="750" spans="1:6" ht="15.75" customHeight="1">
      <c r="A750" s="16"/>
      <c r="F750" s="29"/>
    </row>
    <row r="751" spans="1:6" ht="15.75" customHeight="1">
      <c r="A751" s="16"/>
      <c r="F751" s="29"/>
    </row>
    <row r="752" spans="1:6" ht="15.75" customHeight="1">
      <c r="A752" s="16"/>
      <c r="F752" s="29"/>
    </row>
    <row r="753" spans="1:6" ht="15.75" customHeight="1">
      <c r="A753" s="16"/>
      <c r="F753" s="29"/>
    </row>
    <row r="754" spans="1:6" ht="15.75" customHeight="1">
      <c r="A754" s="16"/>
      <c r="F754" s="29"/>
    </row>
    <row r="755" spans="1:6" ht="15.75" customHeight="1">
      <c r="A755" s="16"/>
      <c r="F755" s="29"/>
    </row>
    <row r="756" spans="1:6" ht="15.75" customHeight="1">
      <c r="A756" s="16"/>
      <c r="F756" s="29"/>
    </row>
    <row r="757" spans="1:6" ht="15.75" customHeight="1">
      <c r="A757" s="16"/>
      <c r="F757" s="29"/>
    </row>
    <row r="758" spans="1:6" ht="15.75" customHeight="1">
      <c r="A758" s="16"/>
      <c r="F758" s="29"/>
    </row>
    <row r="759" spans="1:6" ht="15.75" customHeight="1">
      <c r="A759" s="16"/>
      <c r="F759" s="29"/>
    </row>
    <row r="760" spans="1:6" ht="15.75" customHeight="1">
      <c r="A760" s="16"/>
      <c r="F760" s="29"/>
    </row>
    <row r="761" spans="1:6" ht="15.75" customHeight="1">
      <c r="A761" s="16"/>
      <c r="F761" s="29"/>
    </row>
    <row r="762" spans="1:6" ht="15.75" customHeight="1">
      <c r="A762" s="16"/>
      <c r="F762" s="29"/>
    </row>
    <row r="763" spans="1:6" ht="15.75" customHeight="1">
      <c r="A763" s="16"/>
      <c r="F763" s="29"/>
    </row>
    <row r="764" spans="1:6" ht="15.75" customHeight="1">
      <c r="A764" s="16"/>
      <c r="F764" s="29"/>
    </row>
    <row r="765" spans="1:6" ht="15.75" customHeight="1">
      <c r="A765" s="16"/>
      <c r="F765" s="29"/>
    </row>
    <row r="766" spans="1:6" ht="15.75" customHeight="1">
      <c r="A766" s="16"/>
      <c r="F766" s="29"/>
    </row>
    <row r="767" spans="1:6" ht="15.75" customHeight="1">
      <c r="A767" s="16"/>
      <c r="F767" s="29"/>
    </row>
    <row r="768" spans="1:6" ht="15.75" customHeight="1">
      <c r="A768" s="16"/>
      <c r="F768" s="29"/>
    </row>
    <row r="769" spans="1:6" ht="15.75" customHeight="1">
      <c r="A769" s="16"/>
      <c r="F769" s="29"/>
    </row>
    <row r="770" spans="1:6" ht="15.75" customHeight="1">
      <c r="A770" s="16"/>
      <c r="F770" s="29"/>
    </row>
    <row r="771" spans="1:6" ht="15.75" customHeight="1">
      <c r="A771" s="16"/>
      <c r="F771" s="29"/>
    </row>
    <row r="772" spans="1:6" ht="15.75" customHeight="1">
      <c r="A772" s="16"/>
      <c r="F772" s="29"/>
    </row>
    <row r="773" spans="1:6" ht="15.75" customHeight="1">
      <c r="A773" s="16"/>
      <c r="F773" s="29"/>
    </row>
    <row r="774" spans="1:6" ht="15.75" customHeight="1">
      <c r="A774" s="16"/>
      <c r="F774" s="29"/>
    </row>
    <row r="775" spans="1:6" ht="15.75" customHeight="1">
      <c r="A775" s="16"/>
      <c r="F775" s="29"/>
    </row>
    <row r="776" spans="1:6" ht="15.75" customHeight="1">
      <c r="A776" s="16"/>
      <c r="F776" s="29"/>
    </row>
    <row r="777" spans="1:6" ht="15.75" customHeight="1">
      <c r="A777" s="16"/>
      <c r="F777" s="29"/>
    </row>
    <row r="778" spans="1:6" ht="15.75" customHeight="1">
      <c r="A778" s="16"/>
      <c r="F778" s="29"/>
    </row>
    <row r="779" spans="1:6" ht="15.75" customHeight="1">
      <c r="A779" s="16"/>
      <c r="F779" s="29"/>
    </row>
    <row r="780" spans="1:6" ht="15.75" customHeight="1">
      <c r="A780" s="16"/>
      <c r="F780" s="29"/>
    </row>
    <row r="781" spans="1:6" ht="15.75" customHeight="1">
      <c r="A781" s="16"/>
      <c r="F781" s="29"/>
    </row>
    <row r="782" spans="1:6" ht="15.75" customHeight="1">
      <c r="A782" s="16"/>
      <c r="F782" s="29"/>
    </row>
    <row r="783" spans="1:6" ht="15.75" customHeight="1">
      <c r="A783" s="16"/>
      <c r="F783" s="29"/>
    </row>
    <row r="784" spans="1:6" ht="15.75" customHeight="1">
      <c r="A784" s="16"/>
      <c r="F784" s="29"/>
    </row>
    <row r="785" spans="1:6" ht="15.75" customHeight="1">
      <c r="A785" s="16"/>
      <c r="F785" s="29"/>
    </row>
    <row r="786" spans="1:6" ht="15.75" customHeight="1">
      <c r="A786" s="16"/>
      <c r="F786" s="29"/>
    </row>
    <row r="787" spans="1:6" ht="15.75" customHeight="1">
      <c r="A787" s="16"/>
      <c r="F787" s="29"/>
    </row>
    <row r="788" spans="1:6" ht="15.75" customHeight="1">
      <c r="A788" s="16"/>
      <c r="F788" s="29"/>
    </row>
    <row r="789" spans="1:6" ht="15.75" customHeight="1">
      <c r="A789" s="16"/>
      <c r="F789" s="29"/>
    </row>
    <row r="790" spans="1:6" ht="15.75" customHeight="1">
      <c r="A790" s="16"/>
      <c r="F790" s="29"/>
    </row>
    <row r="791" spans="1:6" ht="15.75" customHeight="1">
      <c r="A791" s="16"/>
      <c r="F791" s="29"/>
    </row>
    <row r="792" spans="1:6" ht="15.75" customHeight="1">
      <c r="A792" s="16"/>
      <c r="F792" s="29"/>
    </row>
    <row r="793" spans="1:6" ht="15.75" customHeight="1">
      <c r="A793" s="16"/>
      <c r="F793" s="29"/>
    </row>
    <row r="794" spans="1:6" ht="15.75" customHeight="1">
      <c r="A794" s="16"/>
      <c r="F794" s="29"/>
    </row>
    <row r="795" spans="1:6" ht="15.75" customHeight="1">
      <c r="A795" s="16"/>
      <c r="F795" s="29"/>
    </row>
    <row r="796" spans="1:6" ht="15.75" customHeight="1">
      <c r="A796" s="16"/>
      <c r="F796" s="29"/>
    </row>
    <row r="797" spans="1:6" ht="15.75" customHeight="1">
      <c r="A797" s="16"/>
      <c r="F797" s="29"/>
    </row>
    <row r="798" spans="1:6" ht="15.75" customHeight="1">
      <c r="A798" s="16"/>
      <c r="F798" s="29"/>
    </row>
    <row r="799" spans="1:6" ht="15.75" customHeight="1">
      <c r="A799" s="16"/>
      <c r="F799" s="29"/>
    </row>
    <row r="800" spans="1:6" ht="15.75" customHeight="1">
      <c r="A800" s="16"/>
      <c r="F800" s="29"/>
    </row>
    <row r="801" spans="1:6" ht="15.75" customHeight="1">
      <c r="A801" s="16"/>
      <c r="F801" s="29"/>
    </row>
    <row r="802" spans="1:6" ht="15.75" customHeight="1">
      <c r="A802" s="16"/>
      <c r="F802" s="29"/>
    </row>
    <row r="803" spans="1:6" ht="15.75" customHeight="1">
      <c r="A803" s="16"/>
      <c r="F803" s="29"/>
    </row>
    <row r="804" spans="1:6" ht="15.75" customHeight="1">
      <c r="A804" s="16"/>
      <c r="F804" s="29"/>
    </row>
    <row r="805" spans="1:6" ht="15.75" customHeight="1">
      <c r="A805" s="16"/>
      <c r="F805" s="29"/>
    </row>
    <row r="806" spans="1:6" ht="15.75" customHeight="1">
      <c r="A806" s="16"/>
      <c r="F806" s="29"/>
    </row>
    <row r="807" spans="1:6" ht="15.75" customHeight="1">
      <c r="A807" s="16"/>
      <c r="F807" s="29"/>
    </row>
    <row r="808" spans="1:6" ht="15.75" customHeight="1">
      <c r="A808" s="16"/>
      <c r="F808" s="29"/>
    </row>
    <row r="809" spans="1:6" ht="15.75" customHeight="1">
      <c r="A809" s="16"/>
      <c r="F809" s="29"/>
    </row>
    <row r="810" spans="1:6" ht="15.75" customHeight="1">
      <c r="A810" s="16"/>
      <c r="F810" s="29"/>
    </row>
    <row r="811" spans="1:6" ht="15.75" customHeight="1">
      <c r="A811" s="16"/>
      <c r="F811" s="29"/>
    </row>
    <row r="812" spans="1:6" ht="15.75" customHeight="1">
      <c r="A812" s="16"/>
      <c r="F812" s="29"/>
    </row>
    <row r="813" spans="1:6" ht="15.75" customHeight="1">
      <c r="A813" s="16"/>
      <c r="F813" s="29"/>
    </row>
    <row r="814" spans="1:6" ht="15.75" customHeight="1">
      <c r="A814" s="16"/>
      <c r="F814" s="29"/>
    </row>
    <row r="815" spans="1:6" ht="15.75" customHeight="1">
      <c r="A815" s="16"/>
      <c r="F815" s="29"/>
    </row>
    <row r="816" spans="1:6" ht="15.75" customHeight="1">
      <c r="A816" s="16"/>
      <c r="F816" s="29"/>
    </row>
    <row r="817" spans="1:6" ht="15.75" customHeight="1">
      <c r="A817" s="16"/>
      <c r="F817" s="29"/>
    </row>
    <row r="818" spans="1:6" ht="15.75" customHeight="1">
      <c r="A818" s="16"/>
      <c r="F818" s="29"/>
    </row>
    <row r="819" spans="1:6" ht="15.75" customHeight="1">
      <c r="A819" s="16"/>
      <c r="F819" s="29"/>
    </row>
    <row r="820" spans="1:6" ht="15.75" customHeight="1">
      <c r="A820" s="16"/>
      <c r="F820" s="29"/>
    </row>
    <row r="821" spans="1:6" ht="15.75" customHeight="1">
      <c r="A821" s="16"/>
      <c r="F821" s="29"/>
    </row>
    <row r="822" spans="1:6" ht="15.75" customHeight="1">
      <c r="A822" s="16"/>
      <c r="F822" s="29"/>
    </row>
    <row r="823" spans="1:6" ht="15.75" customHeight="1">
      <c r="A823" s="16"/>
      <c r="F823" s="29"/>
    </row>
    <row r="824" spans="1:6" ht="15.75" customHeight="1">
      <c r="A824" s="16"/>
      <c r="F824" s="29"/>
    </row>
    <row r="825" spans="1:6" ht="15.75" customHeight="1">
      <c r="A825" s="16"/>
      <c r="F825" s="29"/>
    </row>
    <row r="826" spans="1:6" ht="15.75" customHeight="1">
      <c r="A826" s="16"/>
      <c r="F826" s="29"/>
    </row>
    <row r="827" spans="1:6" ht="15.75" customHeight="1">
      <c r="A827" s="16"/>
      <c r="F827" s="29"/>
    </row>
    <row r="828" spans="1:6" ht="15.75" customHeight="1">
      <c r="A828" s="16"/>
      <c r="F828" s="29"/>
    </row>
    <row r="829" spans="1:6" ht="15.75" customHeight="1">
      <c r="A829" s="16"/>
      <c r="F829" s="29"/>
    </row>
    <row r="830" spans="1:6" ht="15.75" customHeight="1">
      <c r="A830" s="16"/>
      <c r="F830" s="29"/>
    </row>
    <row r="831" spans="1:6" ht="15.75" customHeight="1">
      <c r="A831" s="16"/>
      <c r="F831" s="29"/>
    </row>
    <row r="832" spans="1:6" ht="15.75" customHeight="1">
      <c r="A832" s="16"/>
      <c r="F832" s="29"/>
    </row>
    <row r="833" spans="1:6" ht="15.75" customHeight="1">
      <c r="A833" s="16"/>
      <c r="F833" s="29"/>
    </row>
    <row r="834" spans="1:6" ht="15.75" customHeight="1">
      <c r="A834" s="16"/>
      <c r="F834" s="29"/>
    </row>
    <row r="835" spans="1:6" ht="15.75" customHeight="1">
      <c r="A835" s="16"/>
      <c r="F835" s="29"/>
    </row>
    <row r="836" spans="1:6" ht="15.75" customHeight="1">
      <c r="A836" s="16"/>
      <c r="F836" s="29"/>
    </row>
    <row r="837" spans="1:6" ht="15.75" customHeight="1">
      <c r="A837" s="16"/>
      <c r="F837" s="29"/>
    </row>
    <row r="838" spans="1:6" ht="15.75" customHeight="1">
      <c r="A838" s="16"/>
      <c r="F838" s="29"/>
    </row>
    <row r="839" spans="1:6" ht="15.75" customHeight="1">
      <c r="A839" s="16"/>
      <c r="F839" s="29"/>
    </row>
    <row r="840" spans="1:6" ht="15.75" customHeight="1">
      <c r="A840" s="16"/>
      <c r="F840" s="29"/>
    </row>
    <row r="841" spans="1:6" ht="15.75" customHeight="1">
      <c r="A841" s="16"/>
      <c r="F841" s="29"/>
    </row>
    <row r="842" spans="1:6" ht="15.75" customHeight="1">
      <c r="A842" s="16"/>
      <c r="F842" s="29"/>
    </row>
    <row r="843" spans="1:6" ht="15.75" customHeight="1">
      <c r="A843" s="16"/>
      <c r="F843" s="29"/>
    </row>
    <row r="844" spans="1:6" ht="15.75" customHeight="1">
      <c r="A844" s="16"/>
      <c r="F844" s="29"/>
    </row>
    <row r="845" spans="1:6" ht="15.75" customHeight="1">
      <c r="A845" s="16"/>
      <c r="F845" s="29"/>
    </row>
    <row r="846" spans="1:6" ht="15.75" customHeight="1">
      <c r="A846" s="16"/>
      <c r="F846" s="29"/>
    </row>
    <row r="847" spans="1:6" ht="15.75" customHeight="1">
      <c r="A847" s="16"/>
      <c r="F847" s="29"/>
    </row>
    <row r="848" spans="1:6" ht="15.75" customHeight="1">
      <c r="A848" s="16"/>
      <c r="F848" s="29"/>
    </row>
    <row r="849" spans="1:6" ht="15.75" customHeight="1">
      <c r="A849" s="16"/>
      <c r="F849" s="29"/>
    </row>
    <row r="850" spans="1:6" ht="15.75" customHeight="1">
      <c r="A850" s="16"/>
      <c r="F850" s="29"/>
    </row>
    <row r="851" spans="1:6" ht="15.75" customHeight="1">
      <c r="A851" s="16"/>
      <c r="F851" s="29"/>
    </row>
    <row r="852" spans="1:6" ht="15.75" customHeight="1">
      <c r="A852" s="16"/>
      <c r="F852" s="29"/>
    </row>
    <row r="853" spans="1:6" ht="15.75" customHeight="1">
      <c r="A853" s="16"/>
      <c r="F853" s="29"/>
    </row>
    <row r="854" spans="1:6" ht="15.75" customHeight="1">
      <c r="A854" s="16"/>
      <c r="F854" s="29"/>
    </row>
    <row r="855" spans="1:6" ht="15.75" customHeight="1">
      <c r="A855" s="16"/>
      <c r="F855" s="29"/>
    </row>
    <row r="856" spans="1:6" ht="15.75" customHeight="1">
      <c r="A856" s="16"/>
      <c r="F856" s="29"/>
    </row>
    <row r="857" spans="1:6" ht="15.75" customHeight="1">
      <c r="A857" s="16"/>
      <c r="F857" s="29"/>
    </row>
    <row r="858" spans="1:6" ht="15.75" customHeight="1">
      <c r="A858" s="16"/>
      <c r="F858" s="29"/>
    </row>
    <row r="859" spans="1:6" ht="15.75" customHeight="1">
      <c r="A859" s="16"/>
      <c r="F859" s="29"/>
    </row>
    <row r="860" spans="1:6" ht="15.75" customHeight="1">
      <c r="A860" s="16"/>
      <c r="F860" s="29"/>
    </row>
    <row r="861" spans="1:6" ht="15.75" customHeight="1">
      <c r="A861" s="16"/>
      <c r="F861" s="29"/>
    </row>
    <row r="862" spans="1:6" ht="15.75" customHeight="1">
      <c r="A862" s="16"/>
      <c r="F862" s="29"/>
    </row>
    <row r="863" spans="1:6" ht="15.75" customHeight="1">
      <c r="A863" s="16"/>
      <c r="F863" s="29"/>
    </row>
    <row r="864" spans="1:6" ht="15.75" customHeight="1">
      <c r="A864" s="16"/>
      <c r="F864" s="29"/>
    </row>
    <row r="865" spans="1:6" ht="15.75" customHeight="1">
      <c r="A865" s="16"/>
      <c r="F865" s="29"/>
    </row>
    <row r="866" spans="1:6" ht="15.75" customHeight="1">
      <c r="A866" s="16"/>
      <c r="F866" s="29"/>
    </row>
    <row r="867" spans="1:6" ht="15.75" customHeight="1">
      <c r="A867" s="16"/>
      <c r="F867" s="29"/>
    </row>
    <row r="868" spans="1:6" ht="15.75" customHeight="1">
      <c r="A868" s="16"/>
      <c r="F868" s="29"/>
    </row>
    <row r="869" spans="1:6" ht="15.75" customHeight="1">
      <c r="A869" s="16"/>
      <c r="F869" s="29"/>
    </row>
    <row r="870" spans="1:6" ht="15.75" customHeight="1">
      <c r="A870" s="16"/>
      <c r="F870" s="29"/>
    </row>
    <row r="871" spans="1:6" ht="15.75" customHeight="1">
      <c r="A871" s="16"/>
      <c r="F871" s="29"/>
    </row>
    <row r="872" spans="1:6" ht="15.75" customHeight="1">
      <c r="A872" s="16"/>
      <c r="F872" s="29"/>
    </row>
    <row r="873" spans="1:6" ht="15.75" customHeight="1">
      <c r="A873" s="16"/>
      <c r="F873" s="29"/>
    </row>
    <row r="874" spans="1:6" ht="15.75" customHeight="1">
      <c r="A874" s="16"/>
      <c r="F874" s="29"/>
    </row>
    <row r="875" spans="1:6" ht="15.75" customHeight="1">
      <c r="A875" s="16"/>
      <c r="F875" s="29"/>
    </row>
    <row r="876" spans="1:6" ht="15.75" customHeight="1">
      <c r="A876" s="16"/>
      <c r="F876" s="29"/>
    </row>
    <row r="877" spans="1:6" ht="15.75" customHeight="1">
      <c r="A877" s="16"/>
      <c r="F877" s="29"/>
    </row>
    <row r="878" spans="1:6" ht="15.75" customHeight="1">
      <c r="A878" s="16"/>
      <c r="F878" s="29"/>
    </row>
    <row r="879" spans="1:6" ht="15.75" customHeight="1">
      <c r="A879" s="16"/>
      <c r="F879" s="29"/>
    </row>
    <row r="880" spans="1:6" ht="15.75" customHeight="1">
      <c r="A880" s="16"/>
      <c r="F880" s="29"/>
    </row>
    <row r="881" spans="1:6" ht="15.75" customHeight="1">
      <c r="A881" s="16"/>
      <c r="F881" s="29"/>
    </row>
    <row r="882" spans="1:6" ht="15.75" customHeight="1">
      <c r="A882" s="16"/>
      <c r="F882" s="29"/>
    </row>
    <row r="883" spans="1:6" ht="15.75" customHeight="1">
      <c r="A883" s="16"/>
      <c r="F883" s="29"/>
    </row>
    <row r="884" spans="1:6" ht="15.75" customHeight="1">
      <c r="A884" s="16"/>
      <c r="F884" s="29"/>
    </row>
    <row r="885" spans="1:6" ht="15.75" customHeight="1">
      <c r="A885" s="16"/>
      <c r="F885" s="29"/>
    </row>
    <row r="886" spans="1:6" ht="15.75" customHeight="1">
      <c r="A886" s="16"/>
      <c r="F886" s="29"/>
    </row>
    <row r="887" spans="1:6" ht="15.75" customHeight="1">
      <c r="A887" s="16"/>
      <c r="F887" s="29"/>
    </row>
    <row r="888" spans="1:6" ht="15.75" customHeight="1">
      <c r="A888" s="16"/>
      <c r="F888" s="29"/>
    </row>
    <row r="889" spans="1:6" ht="15.75" customHeight="1">
      <c r="A889" s="16"/>
      <c r="F889" s="29"/>
    </row>
    <row r="890" spans="1:6" ht="15.75" customHeight="1">
      <c r="A890" s="16"/>
      <c r="F890" s="29"/>
    </row>
    <row r="891" spans="1:6" ht="15.75" customHeight="1">
      <c r="A891" s="16"/>
      <c r="F891" s="29"/>
    </row>
    <row r="892" spans="1:6" ht="15.75" customHeight="1">
      <c r="A892" s="16"/>
      <c r="F892" s="29"/>
    </row>
    <row r="893" spans="1:6" ht="15.75" customHeight="1">
      <c r="A893" s="16"/>
      <c r="F893" s="29"/>
    </row>
    <row r="894" spans="1:6" ht="15.75" customHeight="1">
      <c r="A894" s="16"/>
      <c r="F894" s="29"/>
    </row>
    <row r="895" spans="1:6" ht="15.75" customHeight="1">
      <c r="A895" s="16"/>
      <c r="F895" s="29"/>
    </row>
    <row r="896" spans="1:6" ht="15.75" customHeight="1">
      <c r="A896" s="16"/>
      <c r="F896" s="29"/>
    </row>
    <row r="897" spans="1:6" ht="15.75" customHeight="1">
      <c r="A897" s="16"/>
      <c r="F897" s="29"/>
    </row>
    <row r="898" spans="1:6" ht="15.75" customHeight="1">
      <c r="A898" s="16"/>
      <c r="F898" s="29"/>
    </row>
    <row r="899" spans="1:6" ht="15.75" customHeight="1">
      <c r="A899" s="16"/>
      <c r="F899" s="29"/>
    </row>
    <row r="900" spans="1:6" ht="15.75" customHeight="1">
      <c r="A900" s="16"/>
      <c r="F900" s="29"/>
    </row>
    <row r="901" spans="1:6" ht="15.75" customHeight="1">
      <c r="A901" s="16"/>
      <c r="F901" s="29"/>
    </row>
    <row r="902" spans="1:6" ht="15.75" customHeight="1">
      <c r="A902" s="16"/>
      <c r="F902" s="29"/>
    </row>
    <row r="903" spans="1:6" ht="15.75" customHeight="1">
      <c r="A903" s="16"/>
      <c r="F903" s="29"/>
    </row>
    <row r="904" spans="1:6" ht="15.75" customHeight="1">
      <c r="A904" s="16"/>
      <c r="F904" s="29"/>
    </row>
    <row r="905" spans="1:6" ht="15.75" customHeight="1">
      <c r="A905" s="16"/>
      <c r="F905" s="29"/>
    </row>
    <row r="906" spans="1:6" ht="15.75" customHeight="1">
      <c r="A906" s="16"/>
      <c r="F906" s="29"/>
    </row>
    <row r="907" spans="1:6" ht="15.75" customHeight="1">
      <c r="A907" s="16"/>
      <c r="F907" s="29"/>
    </row>
    <row r="908" spans="1:6" ht="15.75" customHeight="1">
      <c r="A908" s="16"/>
      <c r="F908" s="29"/>
    </row>
    <row r="909" spans="1:6" ht="15.75" customHeight="1">
      <c r="A909" s="16"/>
      <c r="F909" s="29"/>
    </row>
    <row r="910" spans="1:6" ht="15.75" customHeight="1">
      <c r="A910" s="16"/>
      <c r="F910" s="29"/>
    </row>
    <row r="911" spans="1:6" ht="15.75" customHeight="1">
      <c r="A911" s="16"/>
      <c r="F911" s="29"/>
    </row>
    <row r="912" spans="1:6" ht="15.75" customHeight="1">
      <c r="A912" s="16"/>
      <c r="F912" s="29"/>
    </row>
    <row r="913" spans="1:6" ht="15.75" customHeight="1">
      <c r="A913" s="16"/>
      <c r="F913" s="29"/>
    </row>
    <row r="914" spans="1:6" ht="15.75" customHeight="1">
      <c r="A914" s="16"/>
      <c r="F914" s="29"/>
    </row>
    <row r="915" spans="1:6" ht="15.75" customHeight="1">
      <c r="A915" s="16"/>
      <c r="F915" s="29"/>
    </row>
    <row r="916" spans="1:6" ht="15.75" customHeight="1">
      <c r="A916" s="16"/>
      <c r="F916" s="29"/>
    </row>
    <row r="917" spans="1:6" ht="15.75" customHeight="1">
      <c r="A917" s="16"/>
      <c r="F917" s="29"/>
    </row>
    <row r="918" spans="1:6" ht="15.75" customHeight="1">
      <c r="A918" s="16"/>
      <c r="F918" s="29"/>
    </row>
    <row r="919" spans="1:6" ht="15.75" customHeight="1">
      <c r="A919" s="16"/>
      <c r="F919" s="29"/>
    </row>
    <row r="920" spans="1:6" ht="15.75" customHeight="1">
      <c r="A920" s="16"/>
      <c r="F920" s="29"/>
    </row>
    <row r="921" spans="1:6" ht="15.75" customHeight="1">
      <c r="A921" s="16"/>
      <c r="F921" s="29"/>
    </row>
    <row r="922" spans="1:6" ht="15.75" customHeight="1">
      <c r="A922" s="16"/>
      <c r="F922" s="29"/>
    </row>
    <row r="923" spans="1:6" ht="15.75" customHeight="1">
      <c r="A923" s="16"/>
      <c r="F923" s="29"/>
    </row>
    <row r="924" spans="1:6" ht="15.75" customHeight="1">
      <c r="A924" s="16"/>
      <c r="F924" s="29"/>
    </row>
    <row r="925" spans="1:6" ht="15.75" customHeight="1">
      <c r="A925" s="16"/>
      <c r="F925" s="29"/>
    </row>
    <row r="926" spans="1:6" ht="15.75" customHeight="1">
      <c r="A926" s="16"/>
      <c r="F926" s="29"/>
    </row>
    <row r="927" spans="1:6" ht="15.75" customHeight="1">
      <c r="A927" s="16"/>
      <c r="F927" s="29"/>
    </row>
    <row r="928" spans="1:6" ht="15.75" customHeight="1">
      <c r="A928" s="16"/>
      <c r="F928" s="29"/>
    </row>
    <row r="929" spans="1:6" ht="15.75" customHeight="1">
      <c r="A929" s="16"/>
      <c r="F929" s="29"/>
    </row>
    <row r="930" spans="1:6" ht="15.75" customHeight="1">
      <c r="A930" s="16"/>
      <c r="F930" s="29"/>
    </row>
    <row r="931" spans="1:6" ht="15.75" customHeight="1">
      <c r="A931" s="16"/>
      <c r="F931" s="29"/>
    </row>
    <row r="932" spans="1:6" ht="15.75" customHeight="1">
      <c r="A932" s="16"/>
      <c r="F932" s="29"/>
    </row>
    <row r="933" spans="1:6" ht="15.75" customHeight="1">
      <c r="A933" s="16"/>
      <c r="F933" s="29"/>
    </row>
    <row r="934" spans="1:6" ht="15.75" customHeight="1">
      <c r="A934" s="16"/>
      <c r="F934" s="29"/>
    </row>
    <row r="935" spans="1:6" ht="15.75" customHeight="1">
      <c r="A935" s="16"/>
      <c r="F935" s="29"/>
    </row>
    <row r="936" spans="1:6" ht="15.75" customHeight="1">
      <c r="A936" s="16"/>
      <c r="F936" s="29"/>
    </row>
    <row r="937" spans="1:6" ht="15.75" customHeight="1">
      <c r="A937" s="16"/>
      <c r="F937" s="29"/>
    </row>
    <row r="938" spans="1:6" ht="15.75" customHeight="1">
      <c r="A938" s="16"/>
      <c r="F938" s="29"/>
    </row>
    <row r="939" spans="1:6" ht="15.75" customHeight="1">
      <c r="A939" s="16"/>
      <c r="F939" s="29"/>
    </row>
    <row r="940" spans="1:6" ht="15.75" customHeight="1">
      <c r="A940" s="16"/>
      <c r="F940" s="29"/>
    </row>
    <row r="941" spans="1:6" ht="15.75" customHeight="1">
      <c r="A941" s="16"/>
      <c r="F941" s="29"/>
    </row>
    <row r="942" spans="1:6" ht="15.75" customHeight="1">
      <c r="A942" s="16"/>
      <c r="F942" s="29"/>
    </row>
    <row r="943" spans="1:6" ht="15.75" customHeight="1">
      <c r="A943" s="16"/>
      <c r="F943" s="29"/>
    </row>
    <row r="944" spans="1:6" ht="15.75" customHeight="1">
      <c r="A944" s="16"/>
      <c r="F944" s="29"/>
    </row>
    <row r="945" spans="1:6" ht="15.75" customHeight="1">
      <c r="A945" s="16"/>
      <c r="F945" s="29"/>
    </row>
    <row r="946" spans="1:6" ht="15.75" customHeight="1">
      <c r="A946" s="16"/>
      <c r="F946" s="29"/>
    </row>
    <row r="947" spans="1:6" ht="15.75" customHeight="1">
      <c r="A947" s="16"/>
      <c r="F947" s="29"/>
    </row>
    <row r="948" spans="1:6" ht="15.75" customHeight="1">
      <c r="A948" s="16"/>
      <c r="F948" s="29"/>
    </row>
    <row r="949" spans="1:6" ht="15.75" customHeight="1">
      <c r="A949" s="16"/>
      <c r="F949" s="29"/>
    </row>
    <row r="950" spans="1:6" ht="15.75" customHeight="1">
      <c r="A950" s="16"/>
      <c r="F950" s="29"/>
    </row>
    <row r="951" spans="1:6" ht="15.75" customHeight="1">
      <c r="A951" s="16"/>
      <c r="F951" s="29"/>
    </row>
    <row r="952" spans="1:6" ht="15.75" customHeight="1">
      <c r="A952" s="16"/>
      <c r="F952" s="29"/>
    </row>
    <row r="953" spans="1:6" ht="15.75" customHeight="1">
      <c r="A953" s="16"/>
      <c r="F953" s="29"/>
    </row>
    <row r="954" spans="1:6" ht="15.75" customHeight="1">
      <c r="A954" s="16"/>
      <c r="F954" s="29"/>
    </row>
    <row r="955" spans="1:6" ht="15.75" customHeight="1">
      <c r="A955" s="16"/>
      <c r="F955" s="29"/>
    </row>
    <row r="956" spans="1:6" ht="15.75" customHeight="1">
      <c r="A956" s="16"/>
      <c r="F956" s="29"/>
    </row>
    <row r="957" spans="1:6" ht="15.75" customHeight="1">
      <c r="A957" s="16"/>
      <c r="F957" s="29"/>
    </row>
    <row r="958" spans="1:6" ht="15.75" customHeight="1">
      <c r="A958" s="16"/>
      <c r="F958" s="29"/>
    </row>
    <row r="959" spans="1:6" ht="15.75" customHeight="1">
      <c r="A959" s="16"/>
      <c r="F959" s="29"/>
    </row>
    <row r="960" spans="1:6" ht="15.75" customHeight="1">
      <c r="A960" s="16"/>
      <c r="F960" s="29"/>
    </row>
    <row r="961" spans="1:6" ht="15.75" customHeight="1">
      <c r="A961" s="16"/>
      <c r="F961" s="29"/>
    </row>
    <row r="962" spans="1:6" ht="15.75" customHeight="1">
      <c r="A962" s="16"/>
      <c r="F962" s="29"/>
    </row>
    <row r="963" spans="1:6" ht="15.75" customHeight="1">
      <c r="A963" s="16"/>
      <c r="F963" s="29"/>
    </row>
    <row r="964" spans="1:6" ht="15.75" customHeight="1">
      <c r="A964" s="16"/>
      <c r="F964" s="29"/>
    </row>
    <row r="965" spans="1:6" ht="15.75" customHeight="1">
      <c r="A965" s="16"/>
      <c r="F965" s="29"/>
    </row>
    <row r="966" spans="1:6" ht="15.75" customHeight="1">
      <c r="A966" s="16"/>
      <c r="F966" s="29"/>
    </row>
    <row r="967" spans="1:6" ht="15.75" customHeight="1">
      <c r="A967" s="16"/>
      <c r="F967" s="29"/>
    </row>
    <row r="968" spans="1:6" ht="15.75" customHeight="1">
      <c r="A968" s="16"/>
      <c r="F968" s="29"/>
    </row>
    <row r="969" spans="1:6" ht="15.75" customHeight="1">
      <c r="A969" s="16"/>
      <c r="F969" s="29"/>
    </row>
    <row r="970" spans="1:6" ht="15.75" customHeight="1">
      <c r="A970" s="16"/>
      <c r="F970" s="29"/>
    </row>
    <row r="971" spans="1:6" ht="15.75" customHeight="1">
      <c r="A971" s="16"/>
      <c r="F971" s="29"/>
    </row>
    <row r="972" spans="1:6" ht="15.75" customHeight="1">
      <c r="A972" s="16"/>
      <c r="F972" s="29"/>
    </row>
    <row r="973" spans="1:6" ht="15.75" customHeight="1">
      <c r="A973" s="16"/>
      <c r="F973" s="29"/>
    </row>
    <row r="974" spans="1:6" ht="15.75" customHeight="1">
      <c r="A974" s="16"/>
      <c r="F974" s="29"/>
    </row>
    <row r="975" spans="1:6" ht="15.75" customHeight="1">
      <c r="A975" s="16"/>
      <c r="F975" s="29"/>
    </row>
    <row r="976" spans="1:6" ht="15.75" customHeight="1">
      <c r="A976" s="16"/>
      <c r="F976" s="29"/>
    </row>
    <row r="977" spans="1:6" ht="15.75" customHeight="1">
      <c r="A977" s="16"/>
      <c r="F977" s="29"/>
    </row>
    <row r="978" spans="1:6" ht="15.75" customHeight="1">
      <c r="A978" s="16"/>
      <c r="F978" s="29"/>
    </row>
    <row r="979" spans="1:6" ht="15.75" customHeight="1">
      <c r="A979" s="16"/>
      <c r="F979" s="29"/>
    </row>
    <row r="980" spans="1:6" ht="15.75" customHeight="1">
      <c r="A980" s="16"/>
      <c r="F980" s="29"/>
    </row>
    <row r="981" spans="1:6" ht="15.75" customHeight="1">
      <c r="A981" s="16"/>
      <c r="F981" s="29"/>
    </row>
    <row r="982" spans="1:6" ht="15.75" customHeight="1">
      <c r="A982" s="16"/>
      <c r="F982" s="29"/>
    </row>
    <row r="983" spans="1:6" ht="15.75" customHeight="1">
      <c r="A983" s="16"/>
      <c r="F983" s="29"/>
    </row>
    <row r="984" spans="1:6" ht="15.75" customHeight="1">
      <c r="A984" s="16"/>
      <c r="F984" s="29"/>
    </row>
    <row r="985" spans="1:6" ht="15.75" customHeight="1">
      <c r="A985" s="16"/>
      <c r="F985" s="29"/>
    </row>
    <row r="986" spans="1:6" ht="15.75" customHeight="1">
      <c r="A986" s="16"/>
      <c r="F986" s="29"/>
    </row>
    <row r="987" spans="1:6" ht="15.75" customHeight="1">
      <c r="A987" s="16"/>
      <c r="F987" s="29"/>
    </row>
    <row r="988" spans="1:6" ht="15.75" customHeight="1">
      <c r="A988" s="16"/>
      <c r="F988" s="29"/>
    </row>
    <row r="989" spans="1:6" ht="15.75" customHeight="1">
      <c r="A989" s="16"/>
      <c r="F989" s="29"/>
    </row>
    <row r="990" spans="1:6" ht="15.75" customHeight="1">
      <c r="A990" s="16"/>
      <c r="F990" s="29"/>
    </row>
    <row r="991" spans="1:6" ht="15.75" customHeight="1">
      <c r="A991" s="16"/>
      <c r="F991" s="29"/>
    </row>
    <row r="992" spans="1:6" ht="15.75" customHeight="1">
      <c r="A992" s="16"/>
      <c r="F992" s="29"/>
    </row>
    <row r="993" spans="1:6" ht="15.75" customHeight="1">
      <c r="A993" s="16"/>
      <c r="F993" s="29"/>
    </row>
    <row r="994" spans="1:6" ht="15.75" customHeight="1">
      <c r="A994" s="16"/>
      <c r="F994" s="29"/>
    </row>
    <row r="995" spans="1:6" ht="15.75" customHeight="1">
      <c r="A995" s="16"/>
      <c r="F995" s="29"/>
    </row>
    <row r="996" spans="1:6" ht="15.75" customHeight="1">
      <c r="A996" s="16"/>
      <c r="F996" s="29"/>
    </row>
    <row r="997" spans="1:6" ht="15.75" customHeight="1">
      <c r="A997" s="16"/>
      <c r="F997" s="29"/>
    </row>
    <row r="998" spans="1:6" ht="15.75" customHeight="1">
      <c r="A998" s="16"/>
      <c r="F998" s="29"/>
    </row>
    <row r="999" spans="1:6" ht="15.75" customHeight="1">
      <c r="A999" s="16"/>
      <c r="F999" s="29"/>
    </row>
    <row r="1000" spans="1:6" ht="15.75" customHeight="1">
      <c r="A1000" s="16"/>
      <c r="F1000" s="29"/>
    </row>
  </sheetData>
  <autoFilter ref="A1:A297" xr:uid="{00000000-0009-0000-0000-000003000000}"/>
  <hyperlinks>
    <hyperlink ref="F14" r:id="rId1" xr:uid="{00000000-0004-0000-0300-000000000000}"/>
    <hyperlink ref="F20" r:id="rId2" xr:uid="{00000000-0004-0000-0300-000001000000}"/>
    <hyperlink ref="F107" r:id="rId3" xr:uid="{00000000-0004-0000-0300-000002000000}"/>
    <hyperlink ref="F201" r:id="rId4" xr:uid="{00000000-0004-0000-0300-000003000000}"/>
    <hyperlink ref="F241" r:id="rId5" xr:uid="{00000000-0004-0000-0300-000004000000}"/>
    <hyperlink ref="F242" r:id="rId6" xr:uid="{00000000-0004-0000-0300-000005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FINAL</vt:lpstr>
      <vt:lpstr>Tabla_dinamica</vt:lpstr>
      <vt:lpstr>FINAL_1</vt:lpstr>
      <vt:lpstr>FINAL_anterior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jose.ordonez</cp:lastModifiedBy>
  <dcterms:modified xsi:type="dcterms:W3CDTF">2026-04-17T02:19:13Z</dcterms:modified>
</cp:coreProperties>
</file>